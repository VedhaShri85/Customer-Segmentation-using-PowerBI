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4380" windowHeight="43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2" i="1" l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2" i="1"/>
  <c r="K13" i="1"/>
  <c r="K14" i="1"/>
  <c r="K15" i="1"/>
  <c r="K16" i="1"/>
  <c r="K17" i="1"/>
  <c r="K18" i="1"/>
  <c r="K19" i="1"/>
  <c r="K20" i="1"/>
  <c r="K21" i="1"/>
  <c r="K2" i="1"/>
  <c r="K3" i="1"/>
  <c r="K4" i="1"/>
  <c r="K5" i="1"/>
  <c r="K6" i="1"/>
  <c r="K7" i="1"/>
  <c r="K8" i="1"/>
  <c r="K9" i="1"/>
  <c r="K10" i="1"/>
  <c r="K11" i="1"/>
</calcChain>
</file>

<file path=xl/sharedStrings.xml><?xml version="1.0" encoding="utf-8"?>
<sst xmlns="http://schemas.openxmlformats.org/spreadsheetml/2006/main" count="921" uniqueCount="185">
  <si>
    <t>CustomerID</t>
  </si>
  <si>
    <t>Name</t>
  </si>
  <si>
    <t>Age</t>
  </si>
  <si>
    <t>Gender</t>
  </si>
  <si>
    <t>Country</t>
  </si>
  <si>
    <t>SignupDate</t>
  </si>
  <si>
    <t>TotalPurchases</t>
  </si>
  <si>
    <t>TotalSpent</t>
  </si>
  <si>
    <t>LastPurchaseDate</t>
  </si>
  <si>
    <t>Email</t>
  </si>
  <si>
    <t>Sophia</t>
  </si>
  <si>
    <t>Female</t>
  </si>
  <si>
    <t>USA</t>
  </si>
  <si>
    <t>sophia1001@example.com</t>
  </si>
  <si>
    <t>Gold</t>
  </si>
  <si>
    <t>Google</t>
  </si>
  <si>
    <t>Returning</t>
  </si>
  <si>
    <t>North</t>
  </si>
  <si>
    <t>Credit Card</t>
  </si>
  <si>
    <t>Liam</t>
  </si>
  <si>
    <t>Male</t>
  </si>
  <si>
    <t>UK</t>
  </si>
  <si>
    <t>liam1002@example.com</t>
  </si>
  <si>
    <t>Silver</t>
  </si>
  <si>
    <t>Facebook</t>
  </si>
  <si>
    <t>New</t>
  </si>
  <si>
    <t>South</t>
  </si>
  <si>
    <t>PayPal</t>
  </si>
  <si>
    <t>Olivia</t>
  </si>
  <si>
    <t>India</t>
  </si>
  <si>
    <t>olivia1003@example.com</t>
  </si>
  <si>
    <t>Platinum</t>
  </si>
  <si>
    <t>VIP</t>
  </si>
  <si>
    <t>East</t>
  </si>
  <si>
    <t>Debit Card</t>
  </si>
  <si>
    <t>Noah</t>
  </si>
  <si>
    <t>Canada</t>
  </si>
  <si>
    <t>noah1004@example.com</t>
  </si>
  <si>
    <t>Instagram</t>
  </si>
  <si>
    <t>West</t>
  </si>
  <si>
    <t>Emma</t>
  </si>
  <si>
    <t>Germany</t>
  </si>
  <si>
    <t>emma1005@example.com</t>
  </si>
  <si>
    <t>Jackson</t>
  </si>
  <si>
    <t>UAE</t>
  </si>
  <si>
    <t>jackson1006@example.com</t>
  </si>
  <si>
    <t>None</t>
  </si>
  <si>
    <t>Ava</t>
  </si>
  <si>
    <t>Australia</t>
  </si>
  <si>
    <t>ava1007@example.com</t>
  </si>
  <si>
    <t>Aiden</t>
  </si>
  <si>
    <t>aiden1008@example.com</t>
  </si>
  <si>
    <t>Isabella</t>
  </si>
  <si>
    <t>isabella1009@example.com</t>
  </si>
  <si>
    <t>Friend</t>
  </si>
  <si>
    <t>Grayson</t>
  </si>
  <si>
    <t>grayson1010@example.com</t>
  </si>
  <si>
    <t>Charlie</t>
  </si>
  <si>
    <t>charlie1011@example.com</t>
  </si>
  <si>
    <t>Hannah</t>
  </si>
  <si>
    <t>hannah1012@example.com</t>
  </si>
  <si>
    <t>Jack</t>
  </si>
  <si>
    <t>jack1013@example.com</t>
  </si>
  <si>
    <t>Chloe</t>
  </si>
  <si>
    <t>chloe1014@example.com</t>
  </si>
  <si>
    <t>David</t>
  </si>
  <si>
    <t>david1015@example.com</t>
  </si>
  <si>
    <t>Mia</t>
  </si>
  <si>
    <t>mia1016@example.com</t>
  </si>
  <si>
    <t>Leo</t>
  </si>
  <si>
    <t>leo1017@example.com</t>
  </si>
  <si>
    <t>Zoe</t>
  </si>
  <si>
    <t>zoe1018@example.com</t>
  </si>
  <si>
    <t>Oliver</t>
  </si>
  <si>
    <t>oliver1019@example.com</t>
  </si>
  <si>
    <t>Eva</t>
  </si>
  <si>
    <t>eva1020@example.com</t>
  </si>
  <si>
    <t>Lucas</t>
  </si>
  <si>
    <t>lucas1021@example.com</t>
  </si>
  <si>
    <t>Lily</t>
  </si>
  <si>
    <t>lily1022@example.com</t>
  </si>
  <si>
    <t>William</t>
  </si>
  <si>
    <t>william1023@example.com</t>
  </si>
  <si>
    <t>Ella</t>
  </si>
  <si>
    <t>ella1024@example.com</t>
  </si>
  <si>
    <t>James</t>
  </si>
  <si>
    <t>james1025@example.com</t>
  </si>
  <si>
    <t>Amelia</t>
  </si>
  <si>
    <t>amelia1026@example.com</t>
  </si>
  <si>
    <t>Mason</t>
  </si>
  <si>
    <t>mason1027@example.com</t>
  </si>
  <si>
    <t>chloe1028@example.com</t>
  </si>
  <si>
    <t>oliver1029@example.com</t>
  </si>
  <si>
    <t>Amos</t>
  </si>
  <si>
    <t>amos1030@example.com</t>
  </si>
  <si>
    <t>Grace</t>
  </si>
  <si>
    <t>grace1031@example.com</t>
  </si>
  <si>
    <t>leo1032@example.com</t>
  </si>
  <si>
    <t>hannah1033@example.com</t>
  </si>
  <si>
    <t>jack1034@example.com</t>
  </si>
  <si>
    <t>ava1035@example.com</t>
  </si>
  <si>
    <t>Brian</t>
  </si>
  <si>
    <t>brian1036@example.com</t>
  </si>
  <si>
    <t>emma1037@example.com</t>
  </si>
  <si>
    <t>Elijah</t>
  </si>
  <si>
    <t>elijah1038@example.com</t>
  </si>
  <si>
    <t>Zoey</t>
  </si>
  <si>
    <t>zoey1039@example.com</t>
  </si>
  <si>
    <t>Isaac</t>
  </si>
  <si>
    <t>isaac1040@example.com</t>
  </si>
  <si>
    <t>grace1041@example.com</t>
  </si>
  <si>
    <t>leo1042@example.com</t>
  </si>
  <si>
    <t>ava1043@example.com</t>
  </si>
  <si>
    <t>mason1044@example.com</t>
  </si>
  <si>
    <t>olivia1045@example.com</t>
  </si>
  <si>
    <t>jack1046@example.com</t>
  </si>
  <si>
    <t>sophia1047@example.com</t>
  </si>
  <si>
    <t>chloe1048@example.com</t>
  </si>
  <si>
    <t>james1049@example.com</t>
  </si>
  <si>
    <t>ella1050@example.com</t>
  </si>
  <si>
    <t>noah1051@example.com</t>
  </si>
  <si>
    <t>zoe1052@example.com</t>
  </si>
  <si>
    <t>liam1053@example.com</t>
  </si>
  <si>
    <t>amelia1054@example.com</t>
  </si>
  <si>
    <t>elijah1055@example.com</t>
  </si>
  <si>
    <t>olivia1056@example.com</t>
  </si>
  <si>
    <t>isaac1057@example.com</t>
  </si>
  <si>
    <t>sophia1058@example.com</t>
  </si>
  <si>
    <t>aiden1059@example.com</t>
  </si>
  <si>
    <t>chloe1060@example.com</t>
  </si>
  <si>
    <t>emma1061@example.com</t>
  </si>
  <si>
    <t>grace1062@example.com</t>
  </si>
  <si>
    <t>aiden1063@example.com</t>
  </si>
  <si>
    <t>olivia1064@example.com</t>
  </si>
  <si>
    <t>jack1065@example.com</t>
  </si>
  <si>
    <t>liam1066@example.com</t>
  </si>
  <si>
    <t>sophia1067@example.com</t>
  </si>
  <si>
    <t>noah1068@example.com</t>
  </si>
  <si>
    <t>lucas1069@example.com</t>
  </si>
  <si>
    <t>ava1070@example.com</t>
  </si>
  <si>
    <t>chloe1071@example.com</t>
  </si>
  <si>
    <t>isaac1072@example.com</t>
  </si>
  <si>
    <t>amelia1073@example.com</t>
  </si>
  <si>
    <t>aiden1074@example.com</t>
  </si>
  <si>
    <t>Jasmine</t>
  </si>
  <si>
    <t>jasmine1075@example.com</t>
  </si>
  <si>
    <t>leo1076@example.com</t>
  </si>
  <si>
    <t>hannah1077@example.com</t>
  </si>
  <si>
    <t>lily1078@example.com</t>
  </si>
  <si>
    <t>william1079@example.com</t>
  </si>
  <si>
    <t>sophia1080@example.com</t>
  </si>
  <si>
    <t>amos1081@example.com</t>
  </si>
  <si>
    <t>oliver1082@example.com</t>
  </si>
  <si>
    <t>amelia1083@example.com</t>
  </si>
  <si>
    <t>james1084@example.com</t>
  </si>
  <si>
    <t>lucas1085@example.com</t>
  </si>
  <si>
    <t>emma1086@example.com</t>
  </si>
  <si>
    <t>ava1087@example.com</t>
  </si>
  <si>
    <t>jack1088@example.com</t>
  </si>
  <si>
    <t>lily1089@example.com</t>
  </si>
  <si>
    <t>Benjamin</t>
  </si>
  <si>
    <t>benjamin1090@example.com</t>
  </si>
  <si>
    <t>eva1091@example.com</t>
  </si>
  <si>
    <t>elijah1092@example.com</t>
  </si>
  <si>
    <t>Isaiah</t>
  </si>
  <si>
    <t>isaiah1093@example.com</t>
  </si>
  <si>
    <t>amos1094@example.com</t>
  </si>
  <si>
    <t>lucas1095@example.com</t>
  </si>
  <si>
    <t>olivia1096@example.com</t>
  </si>
  <si>
    <t>grace1097@example.com</t>
  </si>
  <si>
    <t>chloe1098@example.com</t>
  </si>
  <si>
    <t>aiden1099@example.com</t>
  </si>
  <si>
    <t>Sophie</t>
  </si>
  <si>
    <t>sophie1100@example.com</t>
  </si>
  <si>
    <t>membership</t>
  </si>
  <si>
    <t>phone</t>
  </si>
  <si>
    <t>is active</t>
  </si>
  <si>
    <t>referral source</t>
  </si>
  <si>
    <t>customer type</t>
  </si>
  <si>
    <t>last login</t>
  </si>
  <si>
    <t>region</t>
  </si>
  <si>
    <t>total order</t>
  </si>
  <si>
    <t>average order value</t>
  </si>
  <si>
    <t>loyalty points</t>
  </si>
  <si>
    <t>preferred 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</si>
</sst>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"/>
  <sheetViews>
    <sheetView tabSelected="1" topLeftCell="A94" workbookViewId="0">
      <selection activeCell="U2" sqref="U2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175</v>
      </c>
      <c r="L1" t="s">
        <v>174</v>
      </c>
      <c r="M1" t="s">
        <v>176</v>
      </c>
      <c r="N1" t="s">
        <v>177</v>
      </c>
      <c r="O1" t="s">
        <v>178</v>
      </c>
      <c r="P1" t="s">
        <v>179</v>
      </c>
      <c r="Q1" t="s">
        <v>180</v>
      </c>
      <c r="R1" t="s">
        <v>181</v>
      </c>
      <c r="S1" t="s">
        <v>182</v>
      </c>
      <c r="T1" t="s">
        <v>183</v>
      </c>
      <c r="U1" t="s">
        <v>184</v>
      </c>
    </row>
    <row r="2" spans="1:21" x14ac:dyDescent="0.35">
      <c r="A2">
        <v>1001</v>
      </c>
      <c r="B2" t="s">
        <v>10</v>
      </c>
      <c r="C2">
        <v>34</v>
      </c>
      <c r="D2" t="s">
        <v>11</v>
      </c>
      <c r="E2" t="s">
        <v>12</v>
      </c>
      <c r="F2" s="1">
        <v>44941</v>
      </c>
      <c r="G2">
        <v>20</v>
      </c>
      <c r="H2">
        <v>3500</v>
      </c>
      <c r="I2" s="1">
        <v>45777</v>
      </c>
      <c r="J2" t="s">
        <v>13</v>
      </c>
      <c r="K2">
        <f>1-9876543210</f>
        <v>-9876543209</v>
      </c>
      <c r="L2" t="s">
        <v>14</v>
      </c>
      <c r="M2" t="b">
        <v>1</v>
      </c>
      <c r="N2" t="s">
        <v>15</v>
      </c>
      <c r="O2" t="s">
        <v>16</v>
      </c>
      <c r="P2" s="1">
        <v>45651</v>
      </c>
      <c r="Q2" t="s">
        <v>17</v>
      </c>
      <c r="R2">
        <v>18</v>
      </c>
      <c r="S2">
        <v>194.44</v>
      </c>
      <c r="T2">
        <v>35</v>
      </c>
      <c r="U2" t="s">
        <v>18</v>
      </c>
    </row>
    <row r="3" spans="1:21" x14ac:dyDescent="0.35">
      <c r="A3">
        <v>1002</v>
      </c>
      <c r="B3" t="s">
        <v>19</v>
      </c>
      <c r="C3">
        <v>28</v>
      </c>
      <c r="D3" t="s">
        <v>20</v>
      </c>
      <c r="E3" t="s">
        <v>21</v>
      </c>
      <c r="F3" s="1">
        <v>44895</v>
      </c>
      <c r="G3">
        <v>15</v>
      </c>
      <c r="H3">
        <v>2750</v>
      </c>
      <c r="I3" s="1">
        <v>45777</v>
      </c>
      <c r="J3" t="s">
        <v>22</v>
      </c>
      <c r="K3">
        <f>1-8765432198</f>
        <v>-8765432197</v>
      </c>
      <c r="L3" t="s">
        <v>23</v>
      </c>
      <c r="M3" t="b">
        <v>1</v>
      </c>
      <c r="N3" t="s">
        <v>24</v>
      </c>
      <c r="O3" t="s">
        <v>25</v>
      </c>
      <c r="P3" s="1">
        <v>45614</v>
      </c>
      <c r="Q3" t="s">
        <v>26</v>
      </c>
      <c r="R3">
        <v>22</v>
      </c>
      <c r="S3">
        <v>125</v>
      </c>
      <c r="T3">
        <v>27</v>
      </c>
      <c r="U3" t="s">
        <v>27</v>
      </c>
    </row>
    <row r="4" spans="1:21" x14ac:dyDescent="0.35">
      <c r="A4">
        <v>1003</v>
      </c>
      <c r="B4" t="s">
        <v>28</v>
      </c>
      <c r="C4">
        <v>41</v>
      </c>
      <c r="D4" t="s">
        <v>11</v>
      </c>
      <c r="E4" t="s">
        <v>29</v>
      </c>
      <c r="F4" s="1">
        <v>44975</v>
      </c>
      <c r="G4">
        <v>10</v>
      </c>
      <c r="H4">
        <v>1800</v>
      </c>
      <c r="I4" s="1">
        <v>45777</v>
      </c>
      <c r="J4" t="s">
        <v>30</v>
      </c>
      <c r="K4">
        <f>1-7654321987</f>
        <v>-7654321986</v>
      </c>
      <c r="L4" t="s">
        <v>31</v>
      </c>
      <c r="M4" t="b">
        <v>1</v>
      </c>
      <c r="N4" t="s">
        <v>15</v>
      </c>
      <c r="O4" t="s">
        <v>32</v>
      </c>
      <c r="P4" s="1">
        <v>45568</v>
      </c>
      <c r="Q4" t="s">
        <v>33</v>
      </c>
      <c r="R4">
        <v>12</v>
      </c>
      <c r="S4">
        <v>150</v>
      </c>
      <c r="T4">
        <v>18</v>
      </c>
      <c r="U4" t="s">
        <v>34</v>
      </c>
    </row>
    <row r="5" spans="1:21" x14ac:dyDescent="0.35">
      <c r="A5">
        <v>1004</v>
      </c>
      <c r="B5" t="s">
        <v>35</v>
      </c>
      <c r="C5">
        <v>36</v>
      </c>
      <c r="D5" t="s">
        <v>20</v>
      </c>
      <c r="E5" t="s">
        <v>36</v>
      </c>
      <c r="F5" s="1">
        <v>44920</v>
      </c>
      <c r="G5">
        <v>12</v>
      </c>
      <c r="H5">
        <v>2250</v>
      </c>
      <c r="I5" s="1">
        <v>45777</v>
      </c>
      <c r="J5" t="s">
        <v>37</v>
      </c>
      <c r="K5">
        <f>1-6543219876</f>
        <v>-6543219875</v>
      </c>
      <c r="L5" t="s">
        <v>14</v>
      </c>
      <c r="M5" t="b">
        <v>1</v>
      </c>
      <c r="N5" t="s">
        <v>38</v>
      </c>
      <c r="O5" t="s">
        <v>16</v>
      </c>
      <c r="P5" s="1">
        <v>45547</v>
      </c>
      <c r="Q5" t="s">
        <v>39</v>
      </c>
      <c r="R5">
        <v>14</v>
      </c>
      <c r="S5">
        <v>160.71</v>
      </c>
      <c r="T5">
        <v>22</v>
      </c>
      <c r="U5" t="s">
        <v>18</v>
      </c>
    </row>
    <row r="6" spans="1:21" x14ac:dyDescent="0.35">
      <c r="A6">
        <v>1005</v>
      </c>
      <c r="B6" t="s">
        <v>40</v>
      </c>
      <c r="C6">
        <v>45</v>
      </c>
      <c r="D6" t="s">
        <v>11</v>
      </c>
      <c r="E6" t="s">
        <v>41</v>
      </c>
      <c r="F6" s="1">
        <v>44995</v>
      </c>
      <c r="G6">
        <v>18</v>
      </c>
      <c r="H6">
        <v>3200</v>
      </c>
      <c r="I6" s="1">
        <v>45777</v>
      </c>
      <c r="J6" t="s">
        <v>42</v>
      </c>
      <c r="K6">
        <f>1-5432198765</f>
        <v>-5432198764</v>
      </c>
      <c r="L6" t="s">
        <v>23</v>
      </c>
      <c r="M6" t="b">
        <v>1</v>
      </c>
      <c r="N6" t="s">
        <v>15</v>
      </c>
      <c r="O6" t="s">
        <v>25</v>
      </c>
      <c r="P6" s="1">
        <v>45585</v>
      </c>
      <c r="Q6" t="s">
        <v>17</v>
      </c>
      <c r="R6">
        <v>15</v>
      </c>
      <c r="S6">
        <v>213.33</v>
      </c>
      <c r="T6">
        <v>32</v>
      </c>
      <c r="U6" t="s">
        <v>27</v>
      </c>
    </row>
    <row r="7" spans="1:21" x14ac:dyDescent="0.35">
      <c r="A7">
        <v>1006</v>
      </c>
      <c r="B7" t="s">
        <v>43</v>
      </c>
      <c r="C7">
        <v>32</v>
      </c>
      <c r="D7" t="s">
        <v>20</v>
      </c>
      <c r="E7" t="s">
        <v>44</v>
      </c>
      <c r="F7" s="1">
        <v>44839</v>
      </c>
      <c r="G7">
        <v>9</v>
      </c>
      <c r="H7">
        <v>1500</v>
      </c>
      <c r="I7" s="1">
        <v>45777</v>
      </c>
      <c r="J7" t="s">
        <v>45</v>
      </c>
      <c r="K7">
        <f>1-4321987654</f>
        <v>-4321987653</v>
      </c>
      <c r="L7" t="s">
        <v>31</v>
      </c>
      <c r="M7" t="b">
        <v>1</v>
      </c>
      <c r="N7" t="s">
        <v>46</v>
      </c>
      <c r="O7" t="s">
        <v>16</v>
      </c>
      <c r="P7" s="1">
        <v>45563</v>
      </c>
      <c r="Q7" t="s">
        <v>26</v>
      </c>
      <c r="R7">
        <v>7</v>
      </c>
      <c r="S7">
        <v>214.29</v>
      </c>
      <c r="T7">
        <v>15</v>
      </c>
      <c r="U7" t="s">
        <v>34</v>
      </c>
    </row>
    <row r="8" spans="1:21" x14ac:dyDescent="0.35">
      <c r="A8">
        <v>1007</v>
      </c>
      <c r="B8" t="s">
        <v>47</v>
      </c>
      <c r="C8">
        <v>29</v>
      </c>
      <c r="D8" t="s">
        <v>11</v>
      </c>
      <c r="E8" t="s">
        <v>48</v>
      </c>
      <c r="F8" s="1">
        <v>45017</v>
      </c>
      <c r="G8">
        <v>21</v>
      </c>
      <c r="H8">
        <v>3600</v>
      </c>
      <c r="I8" s="1">
        <v>45777</v>
      </c>
      <c r="J8" t="s">
        <v>49</v>
      </c>
      <c r="K8">
        <f>1-3219876543</f>
        <v>-3219876542</v>
      </c>
      <c r="L8" t="s">
        <v>14</v>
      </c>
      <c r="M8" t="b">
        <v>1</v>
      </c>
      <c r="N8" t="s">
        <v>38</v>
      </c>
      <c r="O8" t="s">
        <v>25</v>
      </c>
      <c r="P8" s="1">
        <v>45506</v>
      </c>
      <c r="Q8" t="s">
        <v>17</v>
      </c>
      <c r="R8">
        <v>19</v>
      </c>
      <c r="S8">
        <v>189.47</v>
      </c>
      <c r="T8">
        <v>36</v>
      </c>
      <c r="U8" t="s">
        <v>18</v>
      </c>
    </row>
    <row r="9" spans="1:21" x14ac:dyDescent="0.35">
      <c r="A9">
        <v>1008</v>
      </c>
      <c r="B9" t="s">
        <v>50</v>
      </c>
      <c r="C9">
        <v>38</v>
      </c>
      <c r="D9" t="s">
        <v>20</v>
      </c>
      <c r="E9" t="s">
        <v>12</v>
      </c>
      <c r="F9" s="1">
        <v>45068</v>
      </c>
      <c r="G9">
        <v>14</v>
      </c>
      <c r="H9">
        <v>2600</v>
      </c>
      <c r="I9" s="1">
        <v>45777</v>
      </c>
      <c r="J9" t="s">
        <v>51</v>
      </c>
      <c r="K9">
        <f>1-2109876432</f>
        <v>-2109876431</v>
      </c>
      <c r="L9" t="s">
        <v>23</v>
      </c>
      <c r="M9" t="b">
        <v>1</v>
      </c>
      <c r="N9" t="s">
        <v>24</v>
      </c>
      <c r="O9" t="s">
        <v>16</v>
      </c>
      <c r="P9" s="1">
        <v>45488</v>
      </c>
      <c r="Q9" t="s">
        <v>39</v>
      </c>
      <c r="R9">
        <v>12</v>
      </c>
      <c r="S9">
        <v>216.67</v>
      </c>
      <c r="T9">
        <v>26</v>
      </c>
      <c r="U9" t="s">
        <v>27</v>
      </c>
    </row>
    <row r="10" spans="1:21" x14ac:dyDescent="0.35">
      <c r="A10">
        <v>1009</v>
      </c>
      <c r="B10" t="s">
        <v>52</v>
      </c>
      <c r="C10">
        <v>47</v>
      </c>
      <c r="D10" t="s">
        <v>11</v>
      </c>
      <c r="E10" t="s">
        <v>29</v>
      </c>
      <c r="F10" s="1">
        <v>44818</v>
      </c>
      <c r="G10">
        <v>7</v>
      </c>
      <c r="H10">
        <v>1350</v>
      </c>
      <c r="I10" s="1">
        <v>45777</v>
      </c>
      <c r="J10" t="s">
        <v>53</v>
      </c>
      <c r="K10">
        <f>1-1098764321</f>
        <v>-1098764320</v>
      </c>
      <c r="L10" t="s">
        <v>14</v>
      </c>
      <c r="M10" t="b">
        <v>1</v>
      </c>
      <c r="N10" t="s">
        <v>54</v>
      </c>
      <c r="O10" t="s">
        <v>16</v>
      </c>
      <c r="P10" s="1">
        <v>45446</v>
      </c>
      <c r="Q10" t="s">
        <v>26</v>
      </c>
      <c r="R10">
        <v>9</v>
      </c>
      <c r="S10">
        <v>150</v>
      </c>
      <c r="T10">
        <v>13</v>
      </c>
      <c r="U10" t="s">
        <v>34</v>
      </c>
    </row>
    <row r="11" spans="1:21" x14ac:dyDescent="0.35">
      <c r="A11">
        <v>1010</v>
      </c>
      <c r="B11" t="s">
        <v>55</v>
      </c>
      <c r="C11">
        <v>40</v>
      </c>
      <c r="D11" t="s">
        <v>20</v>
      </c>
      <c r="E11" t="s">
        <v>21</v>
      </c>
      <c r="F11" s="1">
        <v>44927</v>
      </c>
      <c r="G11">
        <v>11</v>
      </c>
      <c r="H11">
        <v>1950</v>
      </c>
      <c r="I11" s="1">
        <v>45777</v>
      </c>
      <c r="J11" t="s">
        <v>56</v>
      </c>
      <c r="K11">
        <f>1-9988776655</f>
        <v>-9988776654</v>
      </c>
      <c r="L11" t="s">
        <v>23</v>
      </c>
      <c r="M11" t="b">
        <v>1</v>
      </c>
      <c r="N11" t="s">
        <v>15</v>
      </c>
      <c r="O11" t="s">
        <v>32</v>
      </c>
      <c r="P11" s="1">
        <v>45598</v>
      </c>
      <c r="Q11" t="s">
        <v>39</v>
      </c>
      <c r="R11">
        <v>13</v>
      </c>
      <c r="S11">
        <v>150</v>
      </c>
      <c r="T11">
        <v>19</v>
      </c>
      <c r="U11" t="s">
        <v>18</v>
      </c>
    </row>
    <row r="12" spans="1:21" x14ac:dyDescent="0.35">
      <c r="A12">
        <v>1011</v>
      </c>
      <c r="B12" t="s">
        <v>57</v>
      </c>
      <c r="C12">
        <v>32</v>
      </c>
      <c r="D12" t="s">
        <v>20</v>
      </c>
      <c r="E12" t="s">
        <v>36</v>
      </c>
      <c r="F12" s="1">
        <v>45117</v>
      </c>
      <c r="G12">
        <v>16</v>
      </c>
      <c r="H12">
        <v>3100</v>
      </c>
      <c r="I12" s="1">
        <v>45777</v>
      </c>
      <c r="J12" t="s">
        <v>58</v>
      </c>
      <c r="K12">
        <f>1-8876543210</f>
        <v>-8876543209</v>
      </c>
      <c r="L12" t="s">
        <v>14</v>
      </c>
      <c r="M12" t="b">
        <v>1</v>
      </c>
      <c r="N12" t="s">
        <v>38</v>
      </c>
      <c r="O12" t="s">
        <v>16</v>
      </c>
      <c r="P12" s="1">
        <v>45651</v>
      </c>
      <c r="Q12" t="s">
        <v>17</v>
      </c>
      <c r="R12">
        <v>18</v>
      </c>
      <c r="S12">
        <v>172.22</v>
      </c>
      <c r="T12">
        <v>31</v>
      </c>
      <c r="U12" t="s">
        <v>18</v>
      </c>
    </row>
    <row r="13" spans="1:21" x14ac:dyDescent="0.35">
      <c r="A13">
        <v>1012</v>
      </c>
      <c r="B13" t="s">
        <v>59</v>
      </c>
      <c r="C13">
        <v>29</v>
      </c>
      <c r="D13" t="s">
        <v>11</v>
      </c>
      <c r="E13" t="s">
        <v>12</v>
      </c>
      <c r="F13" s="1">
        <v>44720</v>
      </c>
      <c r="G13">
        <v>20</v>
      </c>
      <c r="H13">
        <v>4000</v>
      </c>
      <c r="I13" s="1">
        <v>45777</v>
      </c>
      <c r="J13" t="s">
        <v>60</v>
      </c>
      <c r="K13">
        <f>1-7765432109</f>
        <v>-7765432108</v>
      </c>
      <c r="L13" t="s">
        <v>23</v>
      </c>
      <c r="M13" t="b">
        <v>1</v>
      </c>
      <c r="N13" t="s">
        <v>24</v>
      </c>
      <c r="O13" t="s">
        <v>25</v>
      </c>
      <c r="P13" s="1">
        <v>45614</v>
      </c>
      <c r="Q13" t="s">
        <v>26</v>
      </c>
      <c r="R13">
        <v>24</v>
      </c>
      <c r="S13">
        <v>166.67</v>
      </c>
      <c r="T13">
        <v>40</v>
      </c>
      <c r="U13" t="s">
        <v>27</v>
      </c>
    </row>
    <row r="14" spans="1:21" x14ac:dyDescent="0.35">
      <c r="A14">
        <v>1013</v>
      </c>
      <c r="B14" t="s">
        <v>61</v>
      </c>
      <c r="C14">
        <v>41</v>
      </c>
      <c r="D14" t="s">
        <v>20</v>
      </c>
      <c r="E14" t="s">
        <v>29</v>
      </c>
      <c r="F14" s="1">
        <v>44958</v>
      </c>
      <c r="G14">
        <v>11</v>
      </c>
      <c r="H14">
        <v>2100</v>
      </c>
      <c r="I14" s="1">
        <v>45777</v>
      </c>
      <c r="J14" t="s">
        <v>62</v>
      </c>
      <c r="K14">
        <f>1-6654321098</f>
        <v>-6654321097</v>
      </c>
      <c r="L14" t="s">
        <v>31</v>
      </c>
      <c r="M14" t="b">
        <v>1</v>
      </c>
      <c r="N14" t="s">
        <v>15</v>
      </c>
      <c r="O14" t="s">
        <v>32</v>
      </c>
      <c r="P14" s="1">
        <v>45568</v>
      </c>
      <c r="Q14" t="s">
        <v>33</v>
      </c>
      <c r="R14">
        <v>15</v>
      </c>
      <c r="S14">
        <v>140</v>
      </c>
      <c r="T14">
        <v>21</v>
      </c>
      <c r="U14" t="s">
        <v>34</v>
      </c>
    </row>
    <row r="15" spans="1:21" x14ac:dyDescent="0.35">
      <c r="A15">
        <v>1014</v>
      </c>
      <c r="B15" t="s">
        <v>63</v>
      </c>
      <c r="C15">
        <v>39</v>
      </c>
      <c r="D15" t="s">
        <v>11</v>
      </c>
      <c r="E15" t="s">
        <v>21</v>
      </c>
      <c r="F15" s="1">
        <v>44885</v>
      </c>
      <c r="G15">
        <v>9</v>
      </c>
      <c r="H15">
        <v>1700</v>
      </c>
      <c r="I15" s="1">
        <v>45777</v>
      </c>
      <c r="J15" t="s">
        <v>64</v>
      </c>
      <c r="K15">
        <f>1-5543210987</f>
        <v>-5543210986</v>
      </c>
      <c r="L15" t="s">
        <v>23</v>
      </c>
      <c r="M15" t="b">
        <v>1</v>
      </c>
      <c r="N15" t="s">
        <v>54</v>
      </c>
      <c r="O15" t="s">
        <v>16</v>
      </c>
      <c r="P15" s="1">
        <v>45547</v>
      </c>
      <c r="Q15" t="s">
        <v>39</v>
      </c>
      <c r="R15">
        <v>11</v>
      </c>
      <c r="S15">
        <v>154.55000000000001</v>
      </c>
      <c r="T15">
        <v>17</v>
      </c>
      <c r="U15" t="s">
        <v>18</v>
      </c>
    </row>
    <row r="16" spans="1:21" x14ac:dyDescent="0.35">
      <c r="A16">
        <v>1015</v>
      </c>
      <c r="B16" t="s">
        <v>65</v>
      </c>
      <c r="C16">
        <v>43</v>
      </c>
      <c r="D16" t="s">
        <v>20</v>
      </c>
      <c r="E16" t="s">
        <v>12</v>
      </c>
      <c r="F16" s="1">
        <v>45000</v>
      </c>
      <c r="G16">
        <v>13</v>
      </c>
      <c r="H16">
        <v>2600</v>
      </c>
      <c r="I16" s="1">
        <v>45777</v>
      </c>
      <c r="J16" t="s">
        <v>66</v>
      </c>
      <c r="K16">
        <f>1-4432109876</f>
        <v>-4432109875</v>
      </c>
      <c r="L16" t="s">
        <v>31</v>
      </c>
      <c r="M16" t="b">
        <v>1</v>
      </c>
      <c r="N16" t="s">
        <v>15</v>
      </c>
      <c r="O16" t="s">
        <v>25</v>
      </c>
      <c r="P16" s="1">
        <v>45585</v>
      </c>
      <c r="Q16" t="s">
        <v>17</v>
      </c>
      <c r="R16">
        <v>12</v>
      </c>
      <c r="S16">
        <v>216.67</v>
      </c>
      <c r="T16">
        <v>26</v>
      </c>
      <c r="U16" t="s">
        <v>27</v>
      </c>
    </row>
    <row r="17" spans="1:21" x14ac:dyDescent="0.35">
      <c r="A17">
        <v>1016</v>
      </c>
      <c r="B17" t="s">
        <v>67</v>
      </c>
      <c r="C17">
        <v>33</v>
      </c>
      <c r="D17" t="s">
        <v>11</v>
      </c>
      <c r="E17" t="s">
        <v>29</v>
      </c>
      <c r="F17" s="1">
        <v>44770</v>
      </c>
      <c r="G17">
        <v>17</v>
      </c>
      <c r="H17">
        <v>3700</v>
      </c>
      <c r="I17" s="1">
        <v>45777</v>
      </c>
      <c r="J17" t="s">
        <v>68</v>
      </c>
      <c r="K17">
        <f>1-3321098765</f>
        <v>-3321098764</v>
      </c>
      <c r="L17" t="s">
        <v>14</v>
      </c>
      <c r="M17" t="b">
        <v>1</v>
      </c>
      <c r="N17" t="s">
        <v>38</v>
      </c>
      <c r="O17" t="s">
        <v>16</v>
      </c>
      <c r="P17" s="1">
        <v>45563</v>
      </c>
      <c r="Q17" t="s">
        <v>26</v>
      </c>
      <c r="R17">
        <v>16</v>
      </c>
      <c r="S17">
        <v>231.25</v>
      </c>
      <c r="T17">
        <v>37</v>
      </c>
      <c r="U17" t="s">
        <v>34</v>
      </c>
    </row>
    <row r="18" spans="1:21" x14ac:dyDescent="0.35">
      <c r="A18">
        <v>1017</v>
      </c>
      <c r="B18" t="s">
        <v>69</v>
      </c>
      <c r="C18">
        <v>48</v>
      </c>
      <c r="D18" t="s">
        <v>20</v>
      </c>
      <c r="E18" t="s">
        <v>36</v>
      </c>
      <c r="F18" s="1">
        <v>45057</v>
      </c>
      <c r="G18">
        <v>6</v>
      </c>
      <c r="H18">
        <v>1300</v>
      </c>
      <c r="I18" s="1">
        <v>45777</v>
      </c>
      <c r="J18" t="s">
        <v>70</v>
      </c>
      <c r="K18">
        <f>1-2210987654</f>
        <v>-2210987653</v>
      </c>
      <c r="L18" t="s">
        <v>23</v>
      </c>
      <c r="M18" t="b">
        <v>1</v>
      </c>
      <c r="N18" t="s">
        <v>24</v>
      </c>
      <c r="O18" t="s">
        <v>25</v>
      </c>
      <c r="P18" s="1">
        <v>45506</v>
      </c>
      <c r="Q18" t="s">
        <v>17</v>
      </c>
      <c r="R18">
        <v>8</v>
      </c>
      <c r="S18">
        <v>162.5</v>
      </c>
      <c r="T18">
        <v>13</v>
      </c>
      <c r="U18" t="s">
        <v>18</v>
      </c>
    </row>
    <row r="19" spans="1:21" x14ac:dyDescent="0.35">
      <c r="A19">
        <v>1018</v>
      </c>
      <c r="B19" t="s">
        <v>71</v>
      </c>
      <c r="C19">
        <v>30</v>
      </c>
      <c r="D19" t="s">
        <v>11</v>
      </c>
      <c r="E19" t="s">
        <v>12</v>
      </c>
      <c r="F19" s="1">
        <v>44928</v>
      </c>
      <c r="G19">
        <v>12</v>
      </c>
      <c r="H19">
        <v>2400</v>
      </c>
      <c r="I19" s="1">
        <v>45777</v>
      </c>
      <c r="J19" t="s">
        <v>72</v>
      </c>
      <c r="K19">
        <f>1-1109876543</f>
        <v>-1109876542</v>
      </c>
      <c r="L19" t="s">
        <v>14</v>
      </c>
      <c r="M19" t="b">
        <v>1</v>
      </c>
      <c r="N19" t="s">
        <v>54</v>
      </c>
      <c r="O19" t="s">
        <v>16</v>
      </c>
      <c r="P19" s="1">
        <v>45488</v>
      </c>
      <c r="Q19" t="s">
        <v>39</v>
      </c>
      <c r="R19">
        <v>19</v>
      </c>
      <c r="S19">
        <v>126.32</v>
      </c>
      <c r="T19">
        <v>24</v>
      </c>
      <c r="U19" t="s">
        <v>27</v>
      </c>
    </row>
    <row r="20" spans="1:21" x14ac:dyDescent="0.35">
      <c r="A20">
        <v>1019</v>
      </c>
      <c r="B20" t="s">
        <v>73</v>
      </c>
      <c r="C20">
        <v>42</v>
      </c>
      <c r="D20" t="s">
        <v>20</v>
      </c>
      <c r="E20" t="s">
        <v>29</v>
      </c>
      <c r="F20" s="1">
        <v>45026</v>
      </c>
      <c r="G20">
        <v>14</v>
      </c>
      <c r="H20">
        <v>2800</v>
      </c>
      <c r="I20" s="1">
        <v>45777</v>
      </c>
      <c r="J20" t="s">
        <v>74</v>
      </c>
      <c r="K20">
        <f>1-1198765432</f>
        <v>-1198765431</v>
      </c>
      <c r="L20" t="s">
        <v>31</v>
      </c>
      <c r="M20" t="b">
        <v>1</v>
      </c>
      <c r="N20" t="s">
        <v>38</v>
      </c>
      <c r="O20" t="s">
        <v>25</v>
      </c>
      <c r="P20" s="1">
        <v>45438</v>
      </c>
      <c r="Q20" t="s">
        <v>33</v>
      </c>
      <c r="R20">
        <v>22</v>
      </c>
      <c r="S20">
        <v>127.27</v>
      </c>
      <c r="T20">
        <v>28</v>
      </c>
      <c r="U20" t="s">
        <v>34</v>
      </c>
    </row>
    <row r="21" spans="1:21" x14ac:dyDescent="0.35">
      <c r="A21">
        <v>1020</v>
      </c>
      <c r="B21" t="s">
        <v>75</v>
      </c>
      <c r="C21">
        <v>36</v>
      </c>
      <c r="D21" t="s">
        <v>11</v>
      </c>
      <c r="E21" t="s">
        <v>21</v>
      </c>
      <c r="F21" s="1">
        <v>44971</v>
      </c>
      <c r="G21">
        <v>20</v>
      </c>
      <c r="H21">
        <v>4000</v>
      </c>
      <c r="I21" s="1">
        <v>45777</v>
      </c>
      <c r="J21" t="s">
        <v>76</v>
      </c>
      <c r="K21">
        <f>1-1087654321</f>
        <v>-1087654320</v>
      </c>
      <c r="L21" t="s">
        <v>23</v>
      </c>
      <c r="M21" t="b">
        <v>1</v>
      </c>
      <c r="N21" t="s">
        <v>24</v>
      </c>
      <c r="O21" t="s">
        <v>32</v>
      </c>
      <c r="P21" s="1">
        <v>45598</v>
      </c>
      <c r="Q21" t="s">
        <v>39</v>
      </c>
      <c r="R21">
        <v>25</v>
      </c>
      <c r="S21">
        <v>160</v>
      </c>
      <c r="T21">
        <v>40</v>
      </c>
      <c r="U21" t="s">
        <v>18</v>
      </c>
    </row>
    <row r="22" spans="1:21" x14ac:dyDescent="0.35">
      <c r="A22">
        <v>1021</v>
      </c>
      <c r="B22" t="s">
        <v>77</v>
      </c>
      <c r="C22">
        <v>37</v>
      </c>
      <c r="D22" t="s">
        <v>20</v>
      </c>
      <c r="E22" t="s">
        <v>12</v>
      </c>
      <c r="F22" s="1">
        <v>45015</v>
      </c>
      <c r="G22">
        <v>15</v>
      </c>
      <c r="H22">
        <v>2900</v>
      </c>
      <c r="I22" s="1">
        <v>45777</v>
      </c>
      <c r="J22" t="s">
        <v>78</v>
      </c>
      <c r="K22">
        <f>1-8876543210</f>
        <v>-8876543209</v>
      </c>
      <c r="L22" t="s">
        <v>23</v>
      </c>
      <c r="M22" t="b">
        <v>1</v>
      </c>
      <c r="N22" t="s">
        <v>38</v>
      </c>
      <c r="O22" t="s">
        <v>25</v>
      </c>
      <c r="P22" s="1">
        <v>45519</v>
      </c>
      <c r="Q22" t="s">
        <v>17</v>
      </c>
      <c r="R22">
        <v>18</v>
      </c>
      <c r="S22">
        <v>161.11000000000001</v>
      </c>
      <c r="T22">
        <v>29</v>
      </c>
      <c r="U22" t="s">
        <v>18</v>
      </c>
    </row>
    <row r="23" spans="1:21" x14ac:dyDescent="0.35">
      <c r="A23">
        <v>1022</v>
      </c>
      <c r="B23" t="s">
        <v>79</v>
      </c>
      <c r="C23">
        <v>29</v>
      </c>
      <c r="D23" t="s">
        <v>11</v>
      </c>
      <c r="E23" t="s">
        <v>29</v>
      </c>
      <c r="F23" s="1">
        <v>44787</v>
      </c>
      <c r="G23">
        <v>10</v>
      </c>
      <c r="H23">
        <v>1600</v>
      </c>
      <c r="I23" s="1">
        <v>45777</v>
      </c>
      <c r="J23" t="s">
        <v>80</v>
      </c>
      <c r="K23">
        <f>1-7765432109</f>
        <v>-7765432108</v>
      </c>
      <c r="L23" t="s">
        <v>31</v>
      </c>
      <c r="M23" t="b">
        <v>1</v>
      </c>
      <c r="N23" t="s">
        <v>24</v>
      </c>
      <c r="O23" t="s">
        <v>16</v>
      </c>
      <c r="P23" s="1">
        <v>45574</v>
      </c>
      <c r="Q23" t="s">
        <v>26</v>
      </c>
      <c r="R23">
        <v>14</v>
      </c>
      <c r="S23">
        <v>114.29</v>
      </c>
      <c r="T23">
        <v>16</v>
      </c>
      <c r="U23" t="s">
        <v>27</v>
      </c>
    </row>
    <row r="24" spans="1:21" x14ac:dyDescent="0.35">
      <c r="A24">
        <v>1023</v>
      </c>
      <c r="B24" t="s">
        <v>81</v>
      </c>
      <c r="C24">
        <v>42</v>
      </c>
      <c r="D24" t="s">
        <v>20</v>
      </c>
      <c r="E24" t="s">
        <v>36</v>
      </c>
      <c r="F24" s="1">
        <v>44888</v>
      </c>
      <c r="G24">
        <v>17</v>
      </c>
      <c r="H24">
        <v>3300</v>
      </c>
      <c r="I24" s="1">
        <v>45777</v>
      </c>
      <c r="J24" t="s">
        <v>82</v>
      </c>
      <c r="K24">
        <f>1-6654321098</f>
        <v>-6654321097</v>
      </c>
      <c r="L24" t="s">
        <v>14</v>
      </c>
      <c r="M24" t="b">
        <v>1</v>
      </c>
      <c r="N24" t="s">
        <v>15</v>
      </c>
      <c r="O24" t="s">
        <v>32</v>
      </c>
      <c r="P24" s="1">
        <v>45545</v>
      </c>
      <c r="Q24" t="s">
        <v>17</v>
      </c>
      <c r="R24">
        <v>19</v>
      </c>
      <c r="S24">
        <v>173.68</v>
      </c>
      <c r="T24">
        <v>33</v>
      </c>
      <c r="U24" t="s">
        <v>34</v>
      </c>
    </row>
    <row r="25" spans="1:21" x14ac:dyDescent="0.35">
      <c r="A25">
        <v>1024</v>
      </c>
      <c r="B25" t="s">
        <v>83</v>
      </c>
      <c r="C25">
        <v>35</v>
      </c>
      <c r="D25" t="s">
        <v>11</v>
      </c>
      <c r="E25" t="s">
        <v>21</v>
      </c>
      <c r="F25" s="1">
        <v>44982</v>
      </c>
      <c r="G25">
        <v>13</v>
      </c>
      <c r="H25">
        <v>2500</v>
      </c>
      <c r="I25" s="1">
        <v>45777</v>
      </c>
      <c r="J25" t="s">
        <v>84</v>
      </c>
      <c r="K25">
        <f>1-5543210987</f>
        <v>-5543210986</v>
      </c>
      <c r="L25" t="s">
        <v>23</v>
      </c>
      <c r="M25" t="b">
        <v>1</v>
      </c>
      <c r="N25" t="s">
        <v>38</v>
      </c>
      <c r="O25" t="s">
        <v>16</v>
      </c>
      <c r="P25" s="1">
        <v>45498</v>
      </c>
      <c r="Q25" t="s">
        <v>39</v>
      </c>
      <c r="R25">
        <v>16</v>
      </c>
      <c r="S25">
        <v>156.25</v>
      </c>
      <c r="T25">
        <v>25</v>
      </c>
      <c r="U25" t="s">
        <v>18</v>
      </c>
    </row>
    <row r="26" spans="1:21" x14ac:dyDescent="0.35">
      <c r="A26">
        <v>1025</v>
      </c>
      <c r="B26" t="s">
        <v>85</v>
      </c>
      <c r="C26">
        <v>38</v>
      </c>
      <c r="D26" t="s">
        <v>20</v>
      </c>
      <c r="E26" t="s">
        <v>12</v>
      </c>
      <c r="F26" s="1">
        <v>44936</v>
      </c>
      <c r="G26">
        <v>12</v>
      </c>
      <c r="H26">
        <v>2400</v>
      </c>
      <c r="I26" s="1">
        <v>45777</v>
      </c>
      <c r="J26" t="s">
        <v>86</v>
      </c>
      <c r="K26">
        <f>1-4432109876</f>
        <v>-4432109875</v>
      </c>
      <c r="L26" t="s">
        <v>31</v>
      </c>
      <c r="M26" t="b">
        <v>1</v>
      </c>
      <c r="N26" t="s">
        <v>24</v>
      </c>
      <c r="O26" t="s">
        <v>32</v>
      </c>
      <c r="P26" s="1">
        <v>45631</v>
      </c>
      <c r="Q26" t="s">
        <v>26</v>
      </c>
      <c r="R26">
        <v>11</v>
      </c>
      <c r="S26">
        <v>218.18</v>
      </c>
      <c r="T26">
        <v>24</v>
      </c>
      <c r="U26" t="s">
        <v>27</v>
      </c>
    </row>
    <row r="27" spans="1:21" x14ac:dyDescent="0.35">
      <c r="A27">
        <v>1026</v>
      </c>
      <c r="B27" t="s">
        <v>87</v>
      </c>
      <c r="C27">
        <v>30</v>
      </c>
      <c r="D27" t="s">
        <v>11</v>
      </c>
      <c r="E27" t="s">
        <v>29</v>
      </c>
      <c r="F27" s="1">
        <v>44849</v>
      </c>
      <c r="G27">
        <v>18</v>
      </c>
      <c r="H27">
        <v>3600</v>
      </c>
      <c r="I27" s="1">
        <v>45777</v>
      </c>
      <c r="J27" t="s">
        <v>88</v>
      </c>
      <c r="K27">
        <f>1-3321098765</f>
        <v>-3321098764</v>
      </c>
      <c r="L27" t="s">
        <v>14</v>
      </c>
      <c r="M27" t="b">
        <v>1</v>
      </c>
      <c r="N27" t="s">
        <v>38</v>
      </c>
      <c r="O27" t="s">
        <v>16</v>
      </c>
      <c r="P27" s="1">
        <v>45557</v>
      </c>
      <c r="Q27" t="s">
        <v>33</v>
      </c>
      <c r="R27">
        <v>22</v>
      </c>
      <c r="S27">
        <v>163.63999999999999</v>
      </c>
      <c r="T27">
        <v>36</v>
      </c>
      <c r="U27" t="s">
        <v>34</v>
      </c>
    </row>
    <row r="28" spans="1:21" x14ac:dyDescent="0.35">
      <c r="A28">
        <v>1027</v>
      </c>
      <c r="B28" t="s">
        <v>89</v>
      </c>
      <c r="C28">
        <v>44</v>
      </c>
      <c r="D28" t="s">
        <v>20</v>
      </c>
      <c r="E28" t="s">
        <v>36</v>
      </c>
      <c r="F28" s="1">
        <v>45095</v>
      </c>
      <c r="G28">
        <v>8</v>
      </c>
      <c r="H28">
        <v>1400</v>
      </c>
      <c r="I28" s="1">
        <v>45777</v>
      </c>
      <c r="J28" t="s">
        <v>90</v>
      </c>
      <c r="K28">
        <f>1-2210987654</f>
        <v>-2210987653</v>
      </c>
      <c r="L28" t="s">
        <v>23</v>
      </c>
      <c r="M28" t="b">
        <v>1</v>
      </c>
      <c r="N28" t="s">
        <v>24</v>
      </c>
      <c r="O28" t="s">
        <v>25</v>
      </c>
      <c r="P28" s="1">
        <v>45415</v>
      </c>
      <c r="Q28" t="s">
        <v>39</v>
      </c>
      <c r="R28">
        <v>10</v>
      </c>
      <c r="S28">
        <v>140</v>
      </c>
      <c r="T28">
        <v>14</v>
      </c>
      <c r="U28" t="s">
        <v>18</v>
      </c>
    </row>
    <row r="29" spans="1:21" x14ac:dyDescent="0.35">
      <c r="A29">
        <v>1028</v>
      </c>
      <c r="B29" t="s">
        <v>63</v>
      </c>
      <c r="C29">
        <v>33</v>
      </c>
      <c r="D29" t="s">
        <v>11</v>
      </c>
      <c r="E29" t="s">
        <v>21</v>
      </c>
      <c r="F29" s="1">
        <v>45038</v>
      </c>
      <c r="G29">
        <v>14</v>
      </c>
      <c r="H29">
        <v>2800</v>
      </c>
      <c r="I29" s="1">
        <v>45777</v>
      </c>
      <c r="J29" t="s">
        <v>91</v>
      </c>
      <c r="K29">
        <f>1-1109876543</f>
        <v>-1109876542</v>
      </c>
      <c r="L29" t="s">
        <v>14</v>
      </c>
      <c r="M29" t="b">
        <v>1</v>
      </c>
      <c r="N29" t="s">
        <v>38</v>
      </c>
      <c r="O29" t="s">
        <v>16</v>
      </c>
      <c r="P29" s="1">
        <v>45566</v>
      </c>
      <c r="Q29" t="s">
        <v>26</v>
      </c>
      <c r="R29">
        <v>17</v>
      </c>
      <c r="S29">
        <v>164.71</v>
      </c>
      <c r="T29">
        <v>28</v>
      </c>
      <c r="U29" t="s">
        <v>27</v>
      </c>
    </row>
    <row r="30" spans="1:21" x14ac:dyDescent="0.35">
      <c r="A30">
        <v>1029</v>
      </c>
      <c r="B30" t="s">
        <v>73</v>
      </c>
      <c r="C30">
        <v>36</v>
      </c>
      <c r="D30" t="s">
        <v>20</v>
      </c>
      <c r="E30" t="s">
        <v>29</v>
      </c>
      <c r="F30" s="1">
        <v>44934</v>
      </c>
      <c r="G30">
        <v>10</v>
      </c>
      <c r="H30">
        <v>2000</v>
      </c>
      <c r="I30" s="1">
        <v>45777</v>
      </c>
      <c r="J30" t="s">
        <v>92</v>
      </c>
      <c r="K30">
        <f>1-1198765432</f>
        <v>-1198765431</v>
      </c>
      <c r="L30" t="s">
        <v>31</v>
      </c>
      <c r="M30" t="b">
        <v>1</v>
      </c>
      <c r="N30" t="s">
        <v>15</v>
      </c>
      <c r="O30" t="s">
        <v>25</v>
      </c>
      <c r="P30" s="1">
        <v>45614</v>
      </c>
      <c r="Q30" t="s">
        <v>33</v>
      </c>
      <c r="R30">
        <v>12</v>
      </c>
      <c r="S30">
        <v>166.67</v>
      </c>
      <c r="T30">
        <v>20</v>
      </c>
      <c r="U30" t="s">
        <v>34</v>
      </c>
    </row>
    <row r="31" spans="1:21" x14ac:dyDescent="0.35">
      <c r="A31">
        <v>1030</v>
      </c>
      <c r="B31" t="s">
        <v>93</v>
      </c>
      <c r="C31">
        <v>40</v>
      </c>
      <c r="D31" t="s">
        <v>20</v>
      </c>
      <c r="E31" t="s">
        <v>12</v>
      </c>
      <c r="F31" s="1">
        <v>44925</v>
      </c>
      <c r="G31">
        <v>16</v>
      </c>
      <c r="H31">
        <v>3200</v>
      </c>
      <c r="I31" s="1">
        <v>45777</v>
      </c>
      <c r="J31" t="s">
        <v>94</v>
      </c>
      <c r="K31">
        <f>1-1087654321</f>
        <v>-1087654320</v>
      </c>
      <c r="L31" t="s">
        <v>23</v>
      </c>
      <c r="M31" t="b">
        <v>1</v>
      </c>
      <c r="N31" t="s">
        <v>54</v>
      </c>
      <c r="O31" t="s">
        <v>16</v>
      </c>
      <c r="P31" s="1">
        <v>45540</v>
      </c>
      <c r="Q31" t="s">
        <v>17</v>
      </c>
      <c r="R31">
        <v>19</v>
      </c>
      <c r="S31">
        <v>168.42</v>
      </c>
      <c r="T31">
        <v>32</v>
      </c>
      <c r="U31" t="s">
        <v>18</v>
      </c>
    </row>
    <row r="32" spans="1:21" x14ac:dyDescent="0.35">
      <c r="A32">
        <v>1031</v>
      </c>
      <c r="B32" t="s">
        <v>95</v>
      </c>
      <c r="C32">
        <v>29</v>
      </c>
      <c r="D32" t="s">
        <v>11</v>
      </c>
      <c r="E32" t="s">
        <v>29</v>
      </c>
      <c r="F32" s="1">
        <v>44872</v>
      </c>
      <c r="G32">
        <v>14</v>
      </c>
      <c r="H32">
        <v>2800</v>
      </c>
      <c r="I32" s="1">
        <v>45777</v>
      </c>
      <c r="J32" t="s">
        <v>96</v>
      </c>
      <c r="K32">
        <f>1-9876543210</f>
        <v>-9876543209</v>
      </c>
      <c r="L32" t="s">
        <v>31</v>
      </c>
      <c r="M32" t="b">
        <v>1</v>
      </c>
      <c r="N32" t="s">
        <v>38</v>
      </c>
      <c r="O32" t="s">
        <v>32</v>
      </c>
      <c r="P32" s="1">
        <v>45595</v>
      </c>
      <c r="Q32" t="s">
        <v>26</v>
      </c>
      <c r="R32">
        <v>21</v>
      </c>
      <c r="S32">
        <v>133.33000000000001</v>
      </c>
      <c r="T32">
        <v>28</v>
      </c>
      <c r="U32" t="s">
        <v>27</v>
      </c>
    </row>
    <row r="33" spans="1:21" x14ac:dyDescent="0.35">
      <c r="A33">
        <v>1032</v>
      </c>
      <c r="B33" t="s">
        <v>69</v>
      </c>
      <c r="C33">
        <v>42</v>
      </c>
      <c r="D33" t="s">
        <v>20</v>
      </c>
      <c r="E33" t="s">
        <v>36</v>
      </c>
      <c r="F33" s="1">
        <v>45026</v>
      </c>
      <c r="G33">
        <v>7</v>
      </c>
      <c r="H33">
        <v>1300</v>
      </c>
      <c r="I33" s="1">
        <v>45777</v>
      </c>
      <c r="J33" t="s">
        <v>97</v>
      </c>
      <c r="K33">
        <f>1-8765432109</f>
        <v>-8765432108</v>
      </c>
      <c r="L33" t="s">
        <v>14</v>
      </c>
      <c r="M33" t="b">
        <v>1</v>
      </c>
      <c r="N33" t="s">
        <v>24</v>
      </c>
      <c r="O33" t="s">
        <v>25</v>
      </c>
      <c r="P33" s="1">
        <v>45516</v>
      </c>
      <c r="Q33" t="s">
        <v>39</v>
      </c>
      <c r="R33">
        <v>9</v>
      </c>
      <c r="S33">
        <v>144.44</v>
      </c>
      <c r="T33">
        <v>13</v>
      </c>
      <c r="U33" t="s">
        <v>18</v>
      </c>
    </row>
    <row r="34" spans="1:21" x14ac:dyDescent="0.35">
      <c r="A34">
        <v>1033</v>
      </c>
      <c r="B34" t="s">
        <v>59</v>
      </c>
      <c r="C34">
        <v>32</v>
      </c>
      <c r="D34" t="s">
        <v>11</v>
      </c>
      <c r="E34" t="s">
        <v>12</v>
      </c>
      <c r="F34" s="1">
        <v>45064</v>
      </c>
      <c r="G34">
        <v>18</v>
      </c>
      <c r="H34">
        <v>3600</v>
      </c>
      <c r="I34" s="1">
        <v>45777</v>
      </c>
      <c r="J34" t="s">
        <v>98</v>
      </c>
      <c r="K34">
        <f>1-7654321098</f>
        <v>-7654321097</v>
      </c>
      <c r="L34" t="s">
        <v>23</v>
      </c>
      <c r="M34" t="b">
        <v>1</v>
      </c>
      <c r="N34" t="s">
        <v>38</v>
      </c>
      <c r="O34" t="s">
        <v>16</v>
      </c>
      <c r="P34" s="1">
        <v>45556</v>
      </c>
      <c r="Q34" t="s">
        <v>17</v>
      </c>
      <c r="R34">
        <v>15</v>
      </c>
      <c r="S34">
        <v>240</v>
      </c>
      <c r="T34">
        <v>36</v>
      </c>
      <c r="U34" t="s">
        <v>27</v>
      </c>
    </row>
    <row r="35" spans="1:21" x14ac:dyDescent="0.35">
      <c r="A35">
        <v>1034</v>
      </c>
      <c r="B35" t="s">
        <v>61</v>
      </c>
      <c r="C35">
        <v>28</v>
      </c>
      <c r="D35" t="s">
        <v>20</v>
      </c>
      <c r="E35" t="s">
        <v>29</v>
      </c>
      <c r="F35" s="1">
        <v>44962</v>
      </c>
      <c r="G35">
        <v>15</v>
      </c>
      <c r="H35">
        <v>3000</v>
      </c>
      <c r="I35" s="1">
        <v>45777</v>
      </c>
      <c r="J35" t="s">
        <v>99</v>
      </c>
      <c r="K35">
        <f>1-6543210987</f>
        <v>-6543210986</v>
      </c>
      <c r="L35" t="s">
        <v>31</v>
      </c>
      <c r="M35" t="b">
        <v>1</v>
      </c>
      <c r="N35" t="s">
        <v>15</v>
      </c>
      <c r="O35" t="s">
        <v>25</v>
      </c>
      <c r="P35" s="1">
        <v>45501</v>
      </c>
      <c r="Q35" t="s">
        <v>33</v>
      </c>
      <c r="R35">
        <v>14</v>
      </c>
      <c r="S35">
        <v>214.29</v>
      </c>
      <c r="T35">
        <v>30</v>
      </c>
      <c r="U35" t="s">
        <v>34</v>
      </c>
    </row>
    <row r="36" spans="1:21" x14ac:dyDescent="0.35">
      <c r="A36">
        <v>1035</v>
      </c>
      <c r="B36" t="s">
        <v>47</v>
      </c>
      <c r="C36">
        <v>36</v>
      </c>
      <c r="D36" t="s">
        <v>11</v>
      </c>
      <c r="E36" t="s">
        <v>21</v>
      </c>
      <c r="F36" s="1">
        <v>44826</v>
      </c>
      <c r="G36">
        <v>18</v>
      </c>
      <c r="H36">
        <v>3600</v>
      </c>
      <c r="I36" s="1">
        <v>45777</v>
      </c>
      <c r="J36" t="s">
        <v>100</v>
      </c>
      <c r="K36">
        <f>1-5432109876</f>
        <v>-5432109875</v>
      </c>
      <c r="L36" t="s">
        <v>14</v>
      </c>
      <c r="M36" t="b">
        <v>1</v>
      </c>
      <c r="N36" t="s">
        <v>24</v>
      </c>
      <c r="O36" t="s">
        <v>16</v>
      </c>
      <c r="P36" s="1">
        <v>45571</v>
      </c>
      <c r="Q36" t="s">
        <v>26</v>
      </c>
      <c r="R36">
        <v>20</v>
      </c>
      <c r="S36">
        <v>180</v>
      </c>
      <c r="T36">
        <v>35</v>
      </c>
      <c r="U36" t="s">
        <v>18</v>
      </c>
    </row>
    <row r="37" spans="1:21" x14ac:dyDescent="0.35">
      <c r="A37">
        <v>1036</v>
      </c>
      <c r="B37" t="s">
        <v>101</v>
      </c>
      <c r="C37">
        <v>34</v>
      </c>
      <c r="D37" t="s">
        <v>20</v>
      </c>
      <c r="E37" t="s">
        <v>12</v>
      </c>
      <c r="F37" s="1">
        <v>44946</v>
      </c>
      <c r="G37">
        <v>10</v>
      </c>
      <c r="H37">
        <v>2000</v>
      </c>
      <c r="I37" s="1">
        <v>45777</v>
      </c>
      <c r="J37" t="s">
        <v>102</v>
      </c>
      <c r="K37">
        <f>1-4321987654</f>
        <v>-4321987653</v>
      </c>
      <c r="L37" t="s">
        <v>23</v>
      </c>
      <c r="M37" t="b">
        <v>1</v>
      </c>
      <c r="N37" t="s">
        <v>38</v>
      </c>
      <c r="O37" t="s">
        <v>25</v>
      </c>
      <c r="P37" s="1">
        <v>45598</v>
      </c>
      <c r="Q37" t="s">
        <v>39</v>
      </c>
      <c r="R37">
        <v>13</v>
      </c>
      <c r="S37">
        <v>153.85</v>
      </c>
      <c r="T37">
        <v>20</v>
      </c>
      <c r="U37" t="s">
        <v>27</v>
      </c>
    </row>
    <row r="38" spans="1:21" x14ac:dyDescent="0.35">
      <c r="A38">
        <v>1037</v>
      </c>
      <c r="B38" t="s">
        <v>40</v>
      </c>
      <c r="C38">
        <v>31</v>
      </c>
      <c r="D38" t="s">
        <v>11</v>
      </c>
      <c r="E38" t="s">
        <v>29</v>
      </c>
      <c r="F38" s="1">
        <v>45000</v>
      </c>
      <c r="G38">
        <v>12</v>
      </c>
      <c r="H38">
        <v>2400</v>
      </c>
      <c r="I38" s="1">
        <v>45777</v>
      </c>
      <c r="J38" t="s">
        <v>103</v>
      </c>
      <c r="K38">
        <f>1-3219876543</f>
        <v>-3219876542</v>
      </c>
      <c r="L38" t="s">
        <v>31</v>
      </c>
      <c r="M38" t="b">
        <v>1</v>
      </c>
      <c r="N38" t="s">
        <v>15</v>
      </c>
      <c r="O38" t="s">
        <v>16</v>
      </c>
      <c r="P38" s="1">
        <v>45483</v>
      </c>
      <c r="Q38" t="s">
        <v>26</v>
      </c>
      <c r="R38">
        <v>16</v>
      </c>
      <c r="S38">
        <v>150</v>
      </c>
      <c r="T38">
        <v>24</v>
      </c>
      <c r="U38" t="s">
        <v>34</v>
      </c>
    </row>
    <row r="39" spans="1:21" x14ac:dyDescent="0.35">
      <c r="A39">
        <v>1038</v>
      </c>
      <c r="B39" t="s">
        <v>104</v>
      </c>
      <c r="C39">
        <v>40</v>
      </c>
      <c r="D39" t="s">
        <v>20</v>
      </c>
      <c r="E39" t="s">
        <v>36</v>
      </c>
      <c r="F39" s="1">
        <v>44967</v>
      </c>
      <c r="G39">
        <v>14</v>
      </c>
      <c r="H39">
        <v>2800</v>
      </c>
      <c r="I39" s="1">
        <v>45777</v>
      </c>
      <c r="J39" t="s">
        <v>105</v>
      </c>
      <c r="K39">
        <f>1-2109876432</f>
        <v>-2109876431</v>
      </c>
      <c r="L39" t="s">
        <v>14</v>
      </c>
      <c r="M39" t="b">
        <v>1</v>
      </c>
      <c r="N39" t="s">
        <v>24</v>
      </c>
      <c r="O39" t="s">
        <v>32</v>
      </c>
      <c r="P39" s="1">
        <v>45618</v>
      </c>
      <c r="Q39" t="s">
        <v>17</v>
      </c>
      <c r="R39">
        <v>18</v>
      </c>
      <c r="S39">
        <v>155.56</v>
      </c>
      <c r="T39">
        <v>28</v>
      </c>
      <c r="U39" t="s">
        <v>18</v>
      </c>
    </row>
    <row r="40" spans="1:21" x14ac:dyDescent="0.35">
      <c r="A40">
        <v>1039</v>
      </c>
      <c r="B40" t="s">
        <v>106</v>
      </c>
      <c r="C40">
        <v>33</v>
      </c>
      <c r="D40" t="s">
        <v>11</v>
      </c>
      <c r="E40" t="s">
        <v>12</v>
      </c>
      <c r="F40" s="1">
        <v>44862</v>
      </c>
      <c r="G40">
        <v>17</v>
      </c>
      <c r="H40">
        <v>3400</v>
      </c>
      <c r="I40" s="1">
        <v>45777</v>
      </c>
      <c r="J40" t="s">
        <v>107</v>
      </c>
      <c r="K40">
        <f>1-1098765432</f>
        <v>-1098765431</v>
      </c>
      <c r="L40" t="s">
        <v>23</v>
      </c>
      <c r="M40" t="b">
        <v>1</v>
      </c>
      <c r="N40" t="s">
        <v>54</v>
      </c>
      <c r="O40" t="s">
        <v>16</v>
      </c>
      <c r="P40" s="1">
        <v>45550</v>
      </c>
      <c r="Q40" t="s">
        <v>39</v>
      </c>
      <c r="R40">
        <v>21</v>
      </c>
      <c r="S40">
        <v>161.9</v>
      </c>
      <c r="T40">
        <v>34</v>
      </c>
      <c r="U40" t="s">
        <v>27</v>
      </c>
    </row>
    <row r="41" spans="1:21" x14ac:dyDescent="0.35">
      <c r="A41">
        <v>1040</v>
      </c>
      <c r="B41" t="s">
        <v>108</v>
      </c>
      <c r="C41">
        <v>45</v>
      </c>
      <c r="D41" t="s">
        <v>20</v>
      </c>
      <c r="E41" t="s">
        <v>29</v>
      </c>
      <c r="F41" s="1">
        <v>45046</v>
      </c>
      <c r="G41">
        <v>13</v>
      </c>
      <c r="H41">
        <v>2600</v>
      </c>
      <c r="I41" s="1">
        <v>45777</v>
      </c>
      <c r="J41" t="s">
        <v>109</v>
      </c>
      <c r="K41">
        <f>1-9876543210</f>
        <v>-9876543209</v>
      </c>
      <c r="L41" t="s">
        <v>31</v>
      </c>
      <c r="M41" t="b">
        <v>1</v>
      </c>
      <c r="N41" t="s">
        <v>38</v>
      </c>
      <c r="O41" t="s">
        <v>25</v>
      </c>
      <c r="P41" s="1">
        <v>45522</v>
      </c>
      <c r="Q41" t="s">
        <v>33</v>
      </c>
      <c r="R41">
        <v>14</v>
      </c>
      <c r="S41">
        <v>185.71</v>
      </c>
      <c r="T41">
        <v>26</v>
      </c>
      <c r="U41" t="s">
        <v>34</v>
      </c>
    </row>
    <row r="42" spans="1:21" x14ac:dyDescent="0.35">
      <c r="A42">
        <v>1041</v>
      </c>
      <c r="B42" t="s">
        <v>95</v>
      </c>
      <c r="C42">
        <v>38</v>
      </c>
      <c r="D42" t="s">
        <v>11</v>
      </c>
      <c r="E42" t="s">
        <v>21</v>
      </c>
      <c r="F42" s="1">
        <v>44929</v>
      </c>
      <c r="G42">
        <v>13</v>
      </c>
      <c r="H42">
        <v>2700</v>
      </c>
      <c r="I42" s="1">
        <v>45777</v>
      </c>
      <c r="J42" t="s">
        <v>110</v>
      </c>
      <c r="K42">
        <f>1-8765432109</f>
        <v>-8765432108</v>
      </c>
      <c r="L42" t="s">
        <v>23</v>
      </c>
      <c r="M42" t="b">
        <v>1</v>
      </c>
      <c r="N42" t="s">
        <v>15</v>
      </c>
      <c r="O42" t="s">
        <v>25</v>
      </c>
      <c r="P42" s="1">
        <v>45491</v>
      </c>
      <c r="Q42" t="s">
        <v>17</v>
      </c>
      <c r="R42">
        <v>14</v>
      </c>
      <c r="S42">
        <v>192.86</v>
      </c>
      <c r="T42">
        <v>27</v>
      </c>
      <c r="U42" t="s">
        <v>18</v>
      </c>
    </row>
    <row r="43" spans="1:21" x14ac:dyDescent="0.35">
      <c r="A43">
        <v>1042</v>
      </c>
      <c r="B43" t="s">
        <v>69</v>
      </c>
      <c r="C43">
        <v>41</v>
      </c>
      <c r="D43" t="s">
        <v>20</v>
      </c>
      <c r="E43" t="s">
        <v>12</v>
      </c>
      <c r="F43" s="1">
        <v>45091</v>
      </c>
      <c r="G43">
        <v>15</v>
      </c>
      <c r="H43">
        <v>3000</v>
      </c>
      <c r="I43" s="1">
        <v>45777</v>
      </c>
      <c r="J43" t="s">
        <v>111</v>
      </c>
      <c r="K43">
        <f>1-7654321098</f>
        <v>-7654321097</v>
      </c>
      <c r="L43" t="s">
        <v>14</v>
      </c>
      <c r="M43" t="b">
        <v>1</v>
      </c>
      <c r="N43" t="s">
        <v>24</v>
      </c>
      <c r="O43" t="s">
        <v>16</v>
      </c>
      <c r="P43" s="1">
        <v>45536</v>
      </c>
      <c r="Q43" t="s">
        <v>26</v>
      </c>
      <c r="R43">
        <v>17</v>
      </c>
      <c r="S43">
        <v>176.47</v>
      </c>
      <c r="T43">
        <v>30</v>
      </c>
      <c r="U43" t="s">
        <v>27</v>
      </c>
    </row>
    <row r="44" spans="1:21" x14ac:dyDescent="0.35">
      <c r="A44">
        <v>1043</v>
      </c>
      <c r="B44" t="s">
        <v>47</v>
      </c>
      <c r="C44">
        <v>29</v>
      </c>
      <c r="D44" t="s">
        <v>11</v>
      </c>
      <c r="E44" t="s">
        <v>29</v>
      </c>
      <c r="F44" s="1">
        <v>45017</v>
      </c>
      <c r="G44">
        <v>12</v>
      </c>
      <c r="H44">
        <v>2400</v>
      </c>
      <c r="I44" s="1">
        <v>45777</v>
      </c>
      <c r="J44" t="s">
        <v>112</v>
      </c>
      <c r="K44">
        <f>1-6543210987</f>
        <v>-6543210986</v>
      </c>
      <c r="L44" t="s">
        <v>31</v>
      </c>
      <c r="M44" t="b">
        <v>1</v>
      </c>
      <c r="N44" t="s">
        <v>38</v>
      </c>
      <c r="O44" t="s">
        <v>32</v>
      </c>
      <c r="P44" s="1">
        <v>45511</v>
      </c>
      <c r="Q44" t="s">
        <v>33</v>
      </c>
      <c r="R44">
        <v>14</v>
      </c>
      <c r="S44">
        <v>171.43</v>
      </c>
      <c r="T44">
        <v>24</v>
      </c>
      <c r="U44" t="s">
        <v>34</v>
      </c>
    </row>
    <row r="45" spans="1:21" x14ac:dyDescent="0.35">
      <c r="A45">
        <v>1044</v>
      </c>
      <c r="B45" t="s">
        <v>89</v>
      </c>
      <c r="C45">
        <v>37</v>
      </c>
      <c r="D45" t="s">
        <v>20</v>
      </c>
      <c r="E45" t="s">
        <v>36</v>
      </c>
      <c r="F45" s="1">
        <v>44985</v>
      </c>
      <c r="G45">
        <v>10</v>
      </c>
      <c r="H45">
        <v>2000</v>
      </c>
      <c r="I45" s="1">
        <v>45777</v>
      </c>
      <c r="J45" t="s">
        <v>113</v>
      </c>
      <c r="K45">
        <f>1-5432109876</f>
        <v>-5432109875</v>
      </c>
      <c r="L45" t="s">
        <v>23</v>
      </c>
      <c r="M45" t="b">
        <v>1</v>
      </c>
      <c r="N45" t="s">
        <v>15</v>
      </c>
      <c r="O45" t="s">
        <v>25</v>
      </c>
      <c r="P45" s="1">
        <v>45621</v>
      </c>
      <c r="Q45" t="s">
        <v>39</v>
      </c>
      <c r="R45">
        <v>12</v>
      </c>
      <c r="S45">
        <v>166.67</v>
      </c>
      <c r="T45">
        <v>20</v>
      </c>
      <c r="U45" t="s">
        <v>18</v>
      </c>
    </row>
    <row r="46" spans="1:21" x14ac:dyDescent="0.35">
      <c r="A46">
        <v>1045</v>
      </c>
      <c r="B46" t="s">
        <v>28</v>
      </c>
      <c r="C46">
        <v>33</v>
      </c>
      <c r="D46" t="s">
        <v>11</v>
      </c>
      <c r="E46" t="s">
        <v>12</v>
      </c>
      <c r="F46" s="1">
        <v>45119</v>
      </c>
      <c r="G46">
        <v>14</v>
      </c>
      <c r="H46">
        <v>2800</v>
      </c>
      <c r="I46" s="1">
        <v>45777</v>
      </c>
      <c r="J46" t="s">
        <v>114</v>
      </c>
      <c r="K46">
        <f>1-4321987654</f>
        <v>-4321987653</v>
      </c>
      <c r="L46" t="s">
        <v>14</v>
      </c>
      <c r="M46" t="b">
        <v>1</v>
      </c>
      <c r="N46" t="s">
        <v>24</v>
      </c>
      <c r="O46" t="s">
        <v>16</v>
      </c>
      <c r="P46" s="1">
        <v>45579</v>
      </c>
      <c r="Q46" t="s">
        <v>17</v>
      </c>
      <c r="R46">
        <v>18</v>
      </c>
      <c r="S46">
        <v>155.56</v>
      </c>
      <c r="T46">
        <v>28</v>
      </c>
      <c r="U46" t="s">
        <v>27</v>
      </c>
    </row>
    <row r="47" spans="1:21" x14ac:dyDescent="0.35">
      <c r="A47">
        <v>1046</v>
      </c>
      <c r="B47" t="s">
        <v>61</v>
      </c>
      <c r="C47">
        <v>44</v>
      </c>
      <c r="D47" t="s">
        <v>20</v>
      </c>
      <c r="E47" t="s">
        <v>29</v>
      </c>
      <c r="F47" s="1">
        <v>44949</v>
      </c>
      <c r="G47">
        <v>18</v>
      </c>
      <c r="H47">
        <v>3600</v>
      </c>
      <c r="I47" s="1">
        <v>45777</v>
      </c>
      <c r="J47" t="s">
        <v>115</v>
      </c>
      <c r="K47">
        <f>1-3219876543</f>
        <v>-3219876542</v>
      </c>
      <c r="L47" t="s">
        <v>31</v>
      </c>
      <c r="M47" t="b">
        <v>1</v>
      </c>
      <c r="N47" t="s">
        <v>38</v>
      </c>
      <c r="O47" t="s">
        <v>32</v>
      </c>
      <c r="P47" s="1">
        <v>45557</v>
      </c>
      <c r="Q47" t="s">
        <v>26</v>
      </c>
      <c r="R47">
        <v>21</v>
      </c>
      <c r="S47">
        <v>171.43</v>
      </c>
      <c r="T47">
        <v>36</v>
      </c>
      <c r="U47" t="s">
        <v>34</v>
      </c>
    </row>
    <row r="48" spans="1:21" x14ac:dyDescent="0.35">
      <c r="A48">
        <v>1047</v>
      </c>
      <c r="B48" t="s">
        <v>10</v>
      </c>
      <c r="C48">
        <v>39</v>
      </c>
      <c r="D48" t="s">
        <v>11</v>
      </c>
      <c r="E48" t="s">
        <v>36</v>
      </c>
      <c r="F48" s="1">
        <v>44874</v>
      </c>
      <c r="G48">
        <v>16</v>
      </c>
      <c r="H48">
        <v>3200</v>
      </c>
      <c r="I48" s="1">
        <v>45777</v>
      </c>
      <c r="J48" t="s">
        <v>116</v>
      </c>
      <c r="K48">
        <f>1-2109876432</f>
        <v>-2109876431</v>
      </c>
      <c r="L48" t="s">
        <v>23</v>
      </c>
      <c r="M48" t="b">
        <v>1</v>
      </c>
      <c r="N48" t="s">
        <v>15</v>
      </c>
      <c r="O48" t="s">
        <v>16</v>
      </c>
      <c r="P48" s="1">
        <v>45529</v>
      </c>
      <c r="Q48" t="s">
        <v>39</v>
      </c>
      <c r="R48">
        <v>20</v>
      </c>
      <c r="S48">
        <v>160</v>
      </c>
      <c r="T48">
        <v>32</v>
      </c>
      <c r="U48" t="s">
        <v>18</v>
      </c>
    </row>
    <row r="49" spans="1:21" x14ac:dyDescent="0.35">
      <c r="A49">
        <v>1048</v>
      </c>
      <c r="B49" t="s">
        <v>63</v>
      </c>
      <c r="C49">
        <v>30</v>
      </c>
      <c r="D49" t="s">
        <v>11</v>
      </c>
      <c r="E49" t="s">
        <v>12</v>
      </c>
      <c r="F49" s="1">
        <v>44975</v>
      </c>
      <c r="G49">
        <v>11</v>
      </c>
      <c r="H49">
        <v>2200</v>
      </c>
      <c r="I49" s="1">
        <v>45777</v>
      </c>
      <c r="J49" t="s">
        <v>117</v>
      </c>
      <c r="K49">
        <f>1-1098765432</f>
        <v>-1098765431</v>
      </c>
      <c r="L49" t="s">
        <v>14</v>
      </c>
      <c r="M49" t="b">
        <v>1</v>
      </c>
      <c r="N49" t="s">
        <v>24</v>
      </c>
      <c r="O49" t="s">
        <v>25</v>
      </c>
      <c r="P49" s="1">
        <v>45493</v>
      </c>
      <c r="Q49" t="s">
        <v>26</v>
      </c>
      <c r="R49">
        <v>14</v>
      </c>
      <c r="S49">
        <v>157.13999999999999</v>
      </c>
      <c r="T49">
        <v>22</v>
      </c>
      <c r="U49" t="s">
        <v>27</v>
      </c>
    </row>
    <row r="50" spans="1:21" x14ac:dyDescent="0.35">
      <c r="A50">
        <v>1049</v>
      </c>
      <c r="B50" t="s">
        <v>85</v>
      </c>
      <c r="C50">
        <v>35</v>
      </c>
      <c r="D50" t="s">
        <v>20</v>
      </c>
      <c r="E50" t="s">
        <v>29</v>
      </c>
      <c r="F50" s="1">
        <v>44896</v>
      </c>
      <c r="G50">
        <v>14</v>
      </c>
      <c r="H50">
        <v>2800</v>
      </c>
      <c r="I50" s="1">
        <v>45777</v>
      </c>
      <c r="J50" t="s">
        <v>118</v>
      </c>
      <c r="K50">
        <f>1-9876543210</f>
        <v>-9876543209</v>
      </c>
      <c r="L50" t="s">
        <v>31</v>
      </c>
      <c r="M50" t="b">
        <v>1</v>
      </c>
      <c r="N50" t="s">
        <v>38</v>
      </c>
      <c r="O50" t="s">
        <v>16</v>
      </c>
      <c r="P50" s="1">
        <v>45472</v>
      </c>
      <c r="Q50" t="s">
        <v>33</v>
      </c>
      <c r="R50">
        <v>17</v>
      </c>
      <c r="S50">
        <v>164.71</v>
      </c>
      <c r="T50">
        <v>28</v>
      </c>
      <c r="U50" t="s">
        <v>34</v>
      </c>
    </row>
    <row r="51" spans="1:21" x14ac:dyDescent="0.35">
      <c r="A51">
        <v>1050</v>
      </c>
      <c r="B51" t="s">
        <v>83</v>
      </c>
      <c r="C51">
        <v>41</v>
      </c>
      <c r="D51" t="s">
        <v>11</v>
      </c>
      <c r="E51" t="s">
        <v>21</v>
      </c>
      <c r="F51" s="1">
        <v>45061</v>
      </c>
      <c r="G51">
        <v>13</v>
      </c>
      <c r="H51">
        <v>2600</v>
      </c>
      <c r="I51" s="1">
        <v>45777</v>
      </c>
      <c r="J51" t="s">
        <v>119</v>
      </c>
      <c r="K51">
        <f>1-8765432109</f>
        <v>-8765432108</v>
      </c>
      <c r="L51" t="s">
        <v>14</v>
      </c>
      <c r="M51" t="b">
        <v>1</v>
      </c>
      <c r="N51" t="s">
        <v>24</v>
      </c>
      <c r="O51" t="s">
        <v>32</v>
      </c>
      <c r="P51" s="1">
        <v>45508</v>
      </c>
      <c r="Q51" t="s">
        <v>17</v>
      </c>
      <c r="R51">
        <v>14</v>
      </c>
      <c r="S51">
        <v>185.71</v>
      </c>
      <c r="T51">
        <v>26</v>
      </c>
      <c r="U51" t="s">
        <v>18</v>
      </c>
    </row>
    <row r="52" spans="1:21" x14ac:dyDescent="0.35">
      <c r="A52">
        <v>1051</v>
      </c>
      <c r="B52" t="s">
        <v>35</v>
      </c>
      <c r="C52">
        <v>37</v>
      </c>
      <c r="D52" t="s">
        <v>20</v>
      </c>
      <c r="E52" t="s">
        <v>12</v>
      </c>
      <c r="F52" s="1">
        <v>44787</v>
      </c>
      <c r="G52">
        <v>15</v>
      </c>
      <c r="H52">
        <v>3000</v>
      </c>
      <c r="I52" s="1">
        <v>45777</v>
      </c>
      <c r="J52" t="s">
        <v>120</v>
      </c>
      <c r="K52">
        <f>1-7654321098</f>
        <v>-7654321097</v>
      </c>
      <c r="L52" t="s">
        <v>23</v>
      </c>
      <c r="M52" t="b">
        <v>1</v>
      </c>
      <c r="N52" t="s">
        <v>15</v>
      </c>
      <c r="O52" t="s">
        <v>25</v>
      </c>
      <c r="P52" s="1">
        <v>45639</v>
      </c>
      <c r="Q52" t="s">
        <v>26</v>
      </c>
      <c r="R52">
        <v>18</v>
      </c>
      <c r="S52">
        <v>166.67</v>
      </c>
      <c r="T52">
        <v>30</v>
      </c>
      <c r="U52" t="s">
        <v>27</v>
      </c>
    </row>
    <row r="53" spans="1:21" x14ac:dyDescent="0.35">
      <c r="A53">
        <v>1052</v>
      </c>
      <c r="B53" t="s">
        <v>71</v>
      </c>
      <c r="C53">
        <v>29</v>
      </c>
      <c r="D53" t="s">
        <v>11</v>
      </c>
      <c r="E53" t="s">
        <v>29</v>
      </c>
      <c r="F53" s="1">
        <v>44958</v>
      </c>
      <c r="G53">
        <v>12</v>
      </c>
      <c r="H53">
        <v>2400</v>
      </c>
      <c r="I53" s="1">
        <v>45777</v>
      </c>
      <c r="J53" t="s">
        <v>121</v>
      </c>
      <c r="K53">
        <f>1-6543210987</f>
        <v>-6543210986</v>
      </c>
      <c r="L53" t="s">
        <v>31</v>
      </c>
      <c r="M53" t="b">
        <v>1</v>
      </c>
      <c r="N53" t="s">
        <v>38</v>
      </c>
      <c r="O53" t="s">
        <v>16</v>
      </c>
      <c r="P53" s="1">
        <v>45545</v>
      </c>
      <c r="Q53" t="s">
        <v>33</v>
      </c>
      <c r="R53">
        <v>15</v>
      </c>
      <c r="S53">
        <v>160</v>
      </c>
      <c r="T53">
        <v>24</v>
      </c>
      <c r="U53" t="s">
        <v>34</v>
      </c>
    </row>
    <row r="54" spans="1:21" x14ac:dyDescent="0.35">
      <c r="A54">
        <v>1053</v>
      </c>
      <c r="B54" t="s">
        <v>19</v>
      </c>
      <c r="C54">
        <v>41</v>
      </c>
      <c r="D54" t="s">
        <v>20</v>
      </c>
      <c r="E54" t="s">
        <v>36</v>
      </c>
      <c r="F54" s="1">
        <v>45098</v>
      </c>
      <c r="G54">
        <v>8</v>
      </c>
      <c r="H54">
        <v>1600</v>
      </c>
      <c r="I54" s="1">
        <v>45777</v>
      </c>
      <c r="J54" t="s">
        <v>122</v>
      </c>
      <c r="K54">
        <f>1-5432109876</f>
        <v>-5432109875</v>
      </c>
      <c r="L54" t="s">
        <v>23</v>
      </c>
      <c r="M54" t="b">
        <v>1</v>
      </c>
      <c r="N54" t="s">
        <v>24</v>
      </c>
      <c r="O54" t="s">
        <v>25</v>
      </c>
      <c r="P54" s="1">
        <v>45625</v>
      </c>
      <c r="Q54" t="s">
        <v>39</v>
      </c>
      <c r="R54">
        <v>10</v>
      </c>
      <c r="S54">
        <v>160</v>
      </c>
      <c r="T54">
        <v>16</v>
      </c>
      <c r="U54" t="s">
        <v>18</v>
      </c>
    </row>
    <row r="55" spans="1:21" x14ac:dyDescent="0.35">
      <c r="A55">
        <v>1054</v>
      </c>
      <c r="B55" t="s">
        <v>87</v>
      </c>
      <c r="C55">
        <v>33</v>
      </c>
      <c r="D55" t="s">
        <v>11</v>
      </c>
      <c r="E55" t="s">
        <v>12</v>
      </c>
      <c r="F55" s="1">
        <v>44945</v>
      </c>
      <c r="G55">
        <v>18</v>
      </c>
      <c r="H55">
        <v>3600</v>
      </c>
      <c r="I55" s="1">
        <v>45777</v>
      </c>
      <c r="J55" t="s">
        <v>123</v>
      </c>
      <c r="K55">
        <f>1-4321987654</f>
        <v>-4321987653</v>
      </c>
      <c r="L55" t="s">
        <v>14</v>
      </c>
      <c r="M55" t="b">
        <v>1</v>
      </c>
      <c r="N55" t="s">
        <v>38</v>
      </c>
      <c r="O55" t="s">
        <v>16</v>
      </c>
      <c r="P55" s="1">
        <v>45478</v>
      </c>
      <c r="Q55" t="s">
        <v>17</v>
      </c>
      <c r="R55">
        <v>19</v>
      </c>
      <c r="S55">
        <v>189.47</v>
      </c>
      <c r="T55">
        <v>36</v>
      </c>
      <c r="U55" t="s">
        <v>27</v>
      </c>
    </row>
    <row r="56" spans="1:21" x14ac:dyDescent="0.35">
      <c r="A56">
        <v>1055</v>
      </c>
      <c r="B56" t="s">
        <v>104</v>
      </c>
      <c r="C56">
        <v>37</v>
      </c>
      <c r="D56" t="s">
        <v>20</v>
      </c>
      <c r="E56" t="s">
        <v>29</v>
      </c>
      <c r="F56" s="1">
        <v>44841</v>
      </c>
      <c r="G56">
        <v>10</v>
      </c>
      <c r="H56">
        <v>2000</v>
      </c>
      <c r="I56" s="1">
        <v>45777</v>
      </c>
      <c r="J56" t="s">
        <v>124</v>
      </c>
      <c r="K56">
        <f>1-3219876543</f>
        <v>-3219876542</v>
      </c>
      <c r="L56" t="s">
        <v>31</v>
      </c>
      <c r="M56" t="b">
        <v>1</v>
      </c>
      <c r="N56" t="s">
        <v>15</v>
      </c>
      <c r="O56" t="s">
        <v>25</v>
      </c>
      <c r="P56" s="1">
        <v>45553</v>
      </c>
      <c r="Q56" t="s">
        <v>26</v>
      </c>
      <c r="R56">
        <v>12</v>
      </c>
      <c r="S56">
        <v>166.67</v>
      </c>
      <c r="T56">
        <v>20</v>
      </c>
      <c r="U56" t="s">
        <v>34</v>
      </c>
    </row>
    <row r="57" spans="1:21" x14ac:dyDescent="0.35">
      <c r="A57">
        <v>1056</v>
      </c>
      <c r="B57" t="s">
        <v>28</v>
      </c>
      <c r="C57">
        <v>35</v>
      </c>
      <c r="D57" t="s">
        <v>11</v>
      </c>
      <c r="E57" t="s">
        <v>36</v>
      </c>
      <c r="F57" s="1">
        <v>45112</v>
      </c>
      <c r="G57">
        <v>11</v>
      </c>
      <c r="H57">
        <v>2200</v>
      </c>
      <c r="I57" s="1">
        <v>45777</v>
      </c>
      <c r="J57" t="s">
        <v>125</v>
      </c>
      <c r="K57">
        <f>1-2109876432</f>
        <v>-2109876431</v>
      </c>
      <c r="L57" t="s">
        <v>23</v>
      </c>
      <c r="M57" t="b">
        <v>1</v>
      </c>
      <c r="N57" t="s">
        <v>24</v>
      </c>
      <c r="O57" t="s">
        <v>16</v>
      </c>
      <c r="P57" s="1">
        <v>45607</v>
      </c>
      <c r="Q57" t="s">
        <v>39</v>
      </c>
      <c r="R57">
        <v>13</v>
      </c>
      <c r="S57">
        <v>169.23</v>
      </c>
      <c r="T57">
        <v>22</v>
      </c>
      <c r="U57" t="s">
        <v>18</v>
      </c>
    </row>
    <row r="58" spans="1:21" x14ac:dyDescent="0.35">
      <c r="A58">
        <v>1057</v>
      </c>
      <c r="B58" t="s">
        <v>108</v>
      </c>
      <c r="C58">
        <v>44</v>
      </c>
      <c r="D58" t="s">
        <v>20</v>
      </c>
      <c r="E58" t="s">
        <v>12</v>
      </c>
      <c r="F58" s="1">
        <v>44936</v>
      </c>
      <c r="G58">
        <v>14</v>
      </c>
      <c r="H58">
        <v>2800</v>
      </c>
      <c r="I58" s="1">
        <v>45777</v>
      </c>
      <c r="J58" t="s">
        <v>126</v>
      </c>
      <c r="K58">
        <f>1-1098765432</f>
        <v>-1098765431</v>
      </c>
      <c r="L58" t="s">
        <v>14</v>
      </c>
      <c r="M58" t="b">
        <v>1</v>
      </c>
      <c r="N58" t="s">
        <v>38</v>
      </c>
      <c r="O58" t="s">
        <v>32</v>
      </c>
      <c r="P58" s="1">
        <v>45592</v>
      </c>
      <c r="Q58" t="s">
        <v>26</v>
      </c>
      <c r="R58">
        <v>16</v>
      </c>
      <c r="S58">
        <v>175</v>
      </c>
      <c r="T58">
        <v>28</v>
      </c>
      <c r="U58" t="s">
        <v>27</v>
      </c>
    </row>
    <row r="59" spans="1:21" x14ac:dyDescent="0.35">
      <c r="A59">
        <v>1058</v>
      </c>
      <c r="B59" t="s">
        <v>10</v>
      </c>
      <c r="C59">
        <v>28</v>
      </c>
      <c r="D59" t="s">
        <v>11</v>
      </c>
      <c r="E59" t="s">
        <v>29</v>
      </c>
      <c r="F59" s="1">
        <v>44883</v>
      </c>
      <c r="G59">
        <v>12</v>
      </c>
      <c r="H59">
        <v>2400</v>
      </c>
      <c r="I59" s="1">
        <v>45777</v>
      </c>
      <c r="J59" t="s">
        <v>127</v>
      </c>
      <c r="K59">
        <f>1-9876543210</f>
        <v>-9876543209</v>
      </c>
      <c r="L59" t="s">
        <v>31</v>
      </c>
      <c r="M59" t="b">
        <v>1</v>
      </c>
      <c r="N59" t="s">
        <v>15</v>
      </c>
      <c r="O59" t="s">
        <v>16</v>
      </c>
      <c r="P59" s="1">
        <v>45533</v>
      </c>
      <c r="Q59" t="s">
        <v>33</v>
      </c>
      <c r="R59">
        <v>13</v>
      </c>
      <c r="S59">
        <v>184.62</v>
      </c>
      <c r="T59">
        <v>24</v>
      </c>
      <c r="U59" t="s">
        <v>34</v>
      </c>
    </row>
    <row r="60" spans="1:21" x14ac:dyDescent="0.35">
      <c r="A60">
        <v>1059</v>
      </c>
      <c r="B60" t="s">
        <v>50</v>
      </c>
      <c r="C60">
        <v>33</v>
      </c>
      <c r="D60" t="s">
        <v>20</v>
      </c>
      <c r="E60" t="s">
        <v>36</v>
      </c>
      <c r="F60" s="1">
        <v>44796</v>
      </c>
      <c r="G60">
        <v>10</v>
      </c>
      <c r="H60">
        <v>2000</v>
      </c>
      <c r="I60" s="1">
        <v>45777</v>
      </c>
      <c r="J60" t="s">
        <v>128</v>
      </c>
      <c r="K60">
        <f>1-8765432109</f>
        <v>-8765432108</v>
      </c>
      <c r="L60" t="s">
        <v>23</v>
      </c>
      <c r="M60" t="b">
        <v>1</v>
      </c>
      <c r="N60" t="s">
        <v>24</v>
      </c>
      <c r="O60" t="s">
        <v>25</v>
      </c>
      <c r="P60" s="1">
        <v>45636</v>
      </c>
      <c r="Q60" t="s">
        <v>39</v>
      </c>
      <c r="R60">
        <v>14</v>
      </c>
      <c r="S60">
        <v>142.86000000000001</v>
      </c>
      <c r="T60">
        <v>20</v>
      </c>
      <c r="U60" t="s">
        <v>18</v>
      </c>
    </row>
    <row r="61" spans="1:21" x14ac:dyDescent="0.35">
      <c r="A61">
        <v>1060</v>
      </c>
      <c r="B61" t="s">
        <v>63</v>
      </c>
      <c r="C61">
        <v>40</v>
      </c>
      <c r="D61" t="s">
        <v>11</v>
      </c>
      <c r="E61" t="s">
        <v>12</v>
      </c>
      <c r="F61" s="1">
        <v>45054</v>
      </c>
      <c r="G61">
        <v>15</v>
      </c>
      <c r="H61">
        <v>3000</v>
      </c>
      <c r="I61" s="1">
        <v>45777</v>
      </c>
      <c r="J61" t="s">
        <v>129</v>
      </c>
      <c r="K61">
        <f>1-7654321098</f>
        <v>-7654321097</v>
      </c>
      <c r="L61" t="s">
        <v>14</v>
      </c>
      <c r="M61" t="b">
        <v>1</v>
      </c>
      <c r="N61" t="s">
        <v>38</v>
      </c>
      <c r="O61" t="s">
        <v>16</v>
      </c>
      <c r="P61" s="1">
        <v>45550</v>
      </c>
      <c r="Q61" t="s">
        <v>17</v>
      </c>
      <c r="R61">
        <v>17</v>
      </c>
      <c r="S61">
        <v>176.47</v>
      </c>
      <c r="T61">
        <v>30</v>
      </c>
      <c r="U61" t="s">
        <v>27</v>
      </c>
    </row>
    <row r="62" spans="1:21" x14ac:dyDescent="0.35">
      <c r="A62">
        <v>1061</v>
      </c>
      <c r="B62" t="s">
        <v>40</v>
      </c>
      <c r="C62">
        <v>35</v>
      </c>
      <c r="D62" t="s">
        <v>11</v>
      </c>
      <c r="E62" t="s">
        <v>12</v>
      </c>
      <c r="F62" s="1">
        <v>44826</v>
      </c>
      <c r="G62">
        <v>14</v>
      </c>
      <c r="H62">
        <v>2800</v>
      </c>
      <c r="I62" s="1">
        <v>45777</v>
      </c>
      <c r="J62" t="s">
        <v>130</v>
      </c>
      <c r="K62">
        <f>1-8765432109</f>
        <v>-8765432108</v>
      </c>
      <c r="L62" t="s">
        <v>14</v>
      </c>
      <c r="M62" t="b">
        <v>1</v>
      </c>
      <c r="N62" t="s">
        <v>38</v>
      </c>
      <c r="O62" t="s">
        <v>16</v>
      </c>
      <c r="P62" s="1">
        <v>45516</v>
      </c>
      <c r="Q62" t="s">
        <v>17</v>
      </c>
      <c r="R62">
        <v>15</v>
      </c>
      <c r="S62">
        <v>186.67</v>
      </c>
      <c r="T62">
        <v>26</v>
      </c>
      <c r="U62" t="s">
        <v>18</v>
      </c>
    </row>
    <row r="63" spans="1:21" x14ac:dyDescent="0.35">
      <c r="A63">
        <v>1062</v>
      </c>
      <c r="B63" t="s">
        <v>95</v>
      </c>
      <c r="C63">
        <v>31</v>
      </c>
      <c r="D63" t="s">
        <v>11</v>
      </c>
      <c r="E63" t="s">
        <v>12</v>
      </c>
      <c r="F63" s="1">
        <v>44870</v>
      </c>
      <c r="G63">
        <v>14</v>
      </c>
      <c r="H63">
        <v>2800</v>
      </c>
      <c r="I63" s="1">
        <v>45777</v>
      </c>
      <c r="J63" t="s">
        <v>131</v>
      </c>
      <c r="K63">
        <f>1-8765432109</f>
        <v>-8765432108</v>
      </c>
      <c r="L63" t="s">
        <v>23</v>
      </c>
      <c r="M63" t="b">
        <v>1</v>
      </c>
      <c r="N63" t="s">
        <v>15</v>
      </c>
      <c r="O63" t="s">
        <v>25</v>
      </c>
      <c r="P63" s="1">
        <v>45495</v>
      </c>
      <c r="Q63" t="s">
        <v>17</v>
      </c>
      <c r="R63">
        <v>15</v>
      </c>
      <c r="S63">
        <v>186.67</v>
      </c>
      <c r="T63">
        <v>26</v>
      </c>
      <c r="U63" t="s">
        <v>18</v>
      </c>
    </row>
    <row r="64" spans="1:21" x14ac:dyDescent="0.35">
      <c r="A64">
        <v>1063</v>
      </c>
      <c r="B64" t="s">
        <v>50</v>
      </c>
      <c r="C64">
        <v>38</v>
      </c>
      <c r="D64" t="s">
        <v>20</v>
      </c>
      <c r="E64" t="s">
        <v>29</v>
      </c>
      <c r="F64" s="1">
        <v>44972</v>
      </c>
      <c r="G64">
        <v>10</v>
      </c>
      <c r="H64">
        <v>2000</v>
      </c>
      <c r="I64" s="1">
        <v>45777</v>
      </c>
      <c r="J64" t="s">
        <v>132</v>
      </c>
      <c r="K64">
        <f>1-7654321098</f>
        <v>-7654321097</v>
      </c>
      <c r="L64" t="s">
        <v>31</v>
      </c>
      <c r="M64" t="b">
        <v>1</v>
      </c>
      <c r="N64" t="s">
        <v>15</v>
      </c>
      <c r="O64" t="s">
        <v>16</v>
      </c>
      <c r="P64" s="1">
        <v>45582</v>
      </c>
      <c r="Q64" t="s">
        <v>33</v>
      </c>
      <c r="R64">
        <v>12</v>
      </c>
      <c r="S64">
        <v>166.67</v>
      </c>
      <c r="T64">
        <v>18</v>
      </c>
      <c r="U64" t="s">
        <v>27</v>
      </c>
    </row>
    <row r="65" spans="1:21" x14ac:dyDescent="0.35">
      <c r="A65">
        <v>1064</v>
      </c>
      <c r="B65" t="s">
        <v>28</v>
      </c>
      <c r="C65">
        <v>32</v>
      </c>
      <c r="D65" t="s">
        <v>11</v>
      </c>
      <c r="E65" t="s">
        <v>36</v>
      </c>
      <c r="F65" s="1">
        <v>45007</v>
      </c>
      <c r="G65">
        <v>15</v>
      </c>
      <c r="H65">
        <v>3000</v>
      </c>
      <c r="I65" s="1">
        <v>45777</v>
      </c>
      <c r="J65" t="s">
        <v>133</v>
      </c>
      <c r="K65">
        <f>1-6543210987</f>
        <v>-6543210986</v>
      </c>
      <c r="L65" t="s">
        <v>14</v>
      </c>
      <c r="M65" t="b">
        <v>1</v>
      </c>
      <c r="N65" t="s">
        <v>24</v>
      </c>
      <c r="O65" t="s">
        <v>32</v>
      </c>
      <c r="P65" s="1">
        <v>45518</v>
      </c>
      <c r="Q65" t="s">
        <v>39</v>
      </c>
      <c r="R65">
        <v>18</v>
      </c>
      <c r="S65">
        <v>166.67</v>
      </c>
      <c r="T65">
        <v>32</v>
      </c>
      <c r="U65" t="s">
        <v>34</v>
      </c>
    </row>
    <row r="66" spans="1:21" x14ac:dyDescent="0.35">
      <c r="A66">
        <v>1065</v>
      </c>
      <c r="B66" t="s">
        <v>61</v>
      </c>
      <c r="C66">
        <v>30</v>
      </c>
      <c r="D66" t="s">
        <v>20</v>
      </c>
      <c r="E66" t="s">
        <v>12</v>
      </c>
      <c r="F66" s="1">
        <v>45122</v>
      </c>
      <c r="G66">
        <v>12</v>
      </c>
      <c r="H66">
        <v>2400</v>
      </c>
      <c r="I66" s="1">
        <v>45777</v>
      </c>
      <c r="J66" t="s">
        <v>134</v>
      </c>
      <c r="K66">
        <f>1-5432109876</f>
        <v>-5432109875</v>
      </c>
      <c r="L66" t="s">
        <v>23</v>
      </c>
      <c r="M66" t="b">
        <v>1</v>
      </c>
      <c r="N66" t="s">
        <v>15</v>
      </c>
      <c r="O66" t="s">
        <v>25</v>
      </c>
      <c r="P66" s="1">
        <v>45543</v>
      </c>
      <c r="Q66" t="s">
        <v>26</v>
      </c>
      <c r="R66">
        <v>14</v>
      </c>
      <c r="S66">
        <v>171.43</v>
      </c>
      <c r="T66">
        <v>22</v>
      </c>
      <c r="U66" t="s">
        <v>18</v>
      </c>
    </row>
    <row r="67" spans="1:21" x14ac:dyDescent="0.35">
      <c r="A67">
        <v>1066</v>
      </c>
      <c r="B67" t="s">
        <v>19</v>
      </c>
      <c r="C67">
        <v>40</v>
      </c>
      <c r="D67" t="s">
        <v>20</v>
      </c>
      <c r="E67" t="s">
        <v>29</v>
      </c>
      <c r="F67" s="1">
        <v>44824</v>
      </c>
      <c r="G67">
        <v>13</v>
      </c>
      <c r="H67">
        <v>2600</v>
      </c>
      <c r="I67" s="1">
        <v>45777</v>
      </c>
      <c r="J67" t="s">
        <v>135</v>
      </c>
      <c r="K67">
        <f>1-4321987654</f>
        <v>-4321987653</v>
      </c>
      <c r="L67" t="s">
        <v>31</v>
      </c>
      <c r="M67" t="b">
        <v>1</v>
      </c>
      <c r="N67" t="s">
        <v>38</v>
      </c>
      <c r="O67" t="s">
        <v>16</v>
      </c>
      <c r="P67" s="1">
        <v>45638</v>
      </c>
      <c r="Q67" t="s">
        <v>33</v>
      </c>
      <c r="R67">
        <v>16</v>
      </c>
      <c r="S67">
        <v>162.5</v>
      </c>
      <c r="T67">
        <v>24</v>
      </c>
      <c r="U67" t="s">
        <v>27</v>
      </c>
    </row>
    <row r="68" spans="1:21" x14ac:dyDescent="0.35">
      <c r="A68">
        <v>1067</v>
      </c>
      <c r="B68" t="s">
        <v>10</v>
      </c>
      <c r="C68">
        <v>29</v>
      </c>
      <c r="D68" t="s">
        <v>11</v>
      </c>
      <c r="E68" t="s">
        <v>36</v>
      </c>
      <c r="F68" s="1">
        <v>45059</v>
      </c>
      <c r="G68">
        <v>18</v>
      </c>
      <c r="H68">
        <v>3600</v>
      </c>
      <c r="I68" s="1">
        <v>45777</v>
      </c>
      <c r="J68" t="s">
        <v>136</v>
      </c>
      <c r="K68">
        <f>1-3219876543</f>
        <v>-3219876542</v>
      </c>
      <c r="L68" t="s">
        <v>14</v>
      </c>
      <c r="M68" t="b">
        <v>1</v>
      </c>
      <c r="N68" t="s">
        <v>24</v>
      </c>
      <c r="O68" t="s">
        <v>25</v>
      </c>
      <c r="P68" s="1">
        <v>45566</v>
      </c>
      <c r="Q68" t="s">
        <v>17</v>
      </c>
      <c r="R68">
        <v>20</v>
      </c>
      <c r="S68">
        <v>180</v>
      </c>
      <c r="T68">
        <v>36</v>
      </c>
      <c r="U68" t="s">
        <v>34</v>
      </c>
    </row>
    <row r="69" spans="1:21" x14ac:dyDescent="0.35">
      <c r="A69">
        <v>1068</v>
      </c>
      <c r="B69" t="s">
        <v>35</v>
      </c>
      <c r="C69">
        <v>45</v>
      </c>
      <c r="D69" t="s">
        <v>20</v>
      </c>
      <c r="E69" t="s">
        <v>12</v>
      </c>
      <c r="F69" s="1">
        <v>44962</v>
      </c>
      <c r="G69">
        <v>11</v>
      </c>
      <c r="H69">
        <v>2200</v>
      </c>
      <c r="I69" s="1">
        <v>45777</v>
      </c>
      <c r="J69" t="s">
        <v>137</v>
      </c>
      <c r="K69">
        <f>1-2109876432</f>
        <v>-2109876431</v>
      </c>
      <c r="L69" t="s">
        <v>23</v>
      </c>
      <c r="M69" t="b">
        <v>1</v>
      </c>
      <c r="N69" t="s">
        <v>38</v>
      </c>
      <c r="O69" t="s">
        <v>16</v>
      </c>
      <c r="P69" s="1">
        <v>45527</v>
      </c>
      <c r="Q69" t="s">
        <v>26</v>
      </c>
      <c r="R69">
        <v>13</v>
      </c>
      <c r="S69">
        <v>169.23</v>
      </c>
      <c r="T69">
        <v>22</v>
      </c>
      <c r="U69" t="s">
        <v>18</v>
      </c>
    </row>
    <row r="70" spans="1:21" x14ac:dyDescent="0.35">
      <c r="A70">
        <v>1069</v>
      </c>
      <c r="B70" t="s">
        <v>77</v>
      </c>
      <c r="C70">
        <v>37</v>
      </c>
      <c r="D70" t="s">
        <v>20</v>
      </c>
      <c r="E70" t="s">
        <v>29</v>
      </c>
      <c r="F70" s="1">
        <v>45014</v>
      </c>
      <c r="G70">
        <v>10</v>
      </c>
      <c r="H70">
        <v>2000</v>
      </c>
      <c r="I70" s="1">
        <v>45777</v>
      </c>
      <c r="J70" t="s">
        <v>138</v>
      </c>
      <c r="K70">
        <f>1-1098765432</f>
        <v>-1098765431</v>
      </c>
      <c r="L70" t="s">
        <v>31</v>
      </c>
      <c r="M70" t="b">
        <v>1</v>
      </c>
      <c r="N70" t="s">
        <v>15</v>
      </c>
      <c r="O70" t="s">
        <v>25</v>
      </c>
      <c r="P70" s="1">
        <v>45614</v>
      </c>
      <c r="Q70" t="s">
        <v>33</v>
      </c>
      <c r="R70">
        <v>12</v>
      </c>
      <c r="S70">
        <v>166.67</v>
      </c>
      <c r="T70">
        <v>20</v>
      </c>
      <c r="U70" t="s">
        <v>27</v>
      </c>
    </row>
    <row r="71" spans="1:21" x14ac:dyDescent="0.35">
      <c r="A71">
        <v>1070</v>
      </c>
      <c r="B71" t="s">
        <v>47</v>
      </c>
      <c r="C71">
        <v>41</v>
      </c>
      <c r="D71" t="s">
        <v>11</v>
      </c>
      <c r="E71" t="s">
        <v>36</v>
      </c>
      <c r="F71" s="1">
        <v>44943</v>
      </c>
      <c r="G71">
        <v>12</v>
      </c>
      <c r="H71">
        <v>2400</v>
      </c>
      <c r="I71" s="1">
        <v>45777</v>
      </c>
      <c r="J71" t="s">
        <v>139</v>
      </c>
      <c r="K71">
        <f>1-9876543210</f>
        <v>-9876543209</v>
      </c>
      <c r="L71" t="s">
        <v>14</v>
      </c>
      <c r="M71" t="b">
        <v>1</v>
      </c>
      <c r="N71" t="s">
        <v>24</v>
      </c>
      <c r="O71" t="s">
        <v>16</v>
      </c>
      <c r="P71" s="1">
        <v>45565</v>
      </c>
      <c r="Q71" t="s">
        <v>39</v>
      </c>
      <c r="R71">
        <v>14</v>
      </c>
      <c r="S71">
        <v>171.43</v>
      </c>
      <c r="T71">
        <v>28</v>
      </c>
      <c r="U71" t="s">
        <v>34</v>
      </c>
    </row>
    <row r="72" spans="1:21" x14ac:dyDescent="0.35">
      <c r="A72">
        <v>1071</v>
      </c>
      <c r="B72" t="s">
        <v>63</v>
      </c>
      <c r="C72">
        <v>33</v>
      </c>
      <c r="D72" t="s">
        <v>11</v>
      </c>
      <c r="E72" t="s">
        <v>12</v>
      </c>
      <c r="F72" s="1">
        <v>45021</v>
      </c>
      <c r="G72">
        <v>14</v>
      </c>
      <c r="H72">
        <v>2800</v>
      </c>
      <c r="I72" s="1">
        <v>45777</v>
      </c>
      <c r="J72" t="s">
        <v>140</v>
      </c>
      <c r="K72">
        <f>1-8765432109</f>
        <v>-8765432108</v>
      </c>
      <c r="L72" t="s">
        <v>23</v>
      </c>
      <c r="M72" t="b">
        <v>1</v>
      </c>
      <c r="N72" t="s">
        <v>38</v>
      </c>
      <c r="O72" t="s">
        <v>25</v>
      </c>
      <c r="P72" s="1">
        <v>45584</v>
      </c>
      <c r="Q72" t="s">
        <v>26</v>
      </c>
      <c r="R72">
        <v>16</v>
      </c>
      <c r="S72">
        <v>175</v>
      </c>
      <c r="T72">
        <v>30</v>
      </c>
      <c r="U72" t="s">
        <v>18</v>
      </c>
    </row>
    <row r="73" spans="1:21" x14ac:dyDescent="0.35">
      <c r="A73">
        <v>1072</v>
      </c>
      <c r="B73" t="s">
        <v>108</v>
      </c>
      <c r="C73">
        <v>29</v>
      </c>
      <c r="D73" t="s">
        <v>20</v>
      </c>
      <c r="E73" t="s">
        <v>29</v>
      </c>
      <c r="F73" s="1">
        <v>44878</v>
      </c>
      <c r="G73">
        <v>15</v>
      </c>
      <c r="H73">
        <v>3000</v>
      </c>
      <c r="I73" s="1">
        <v>45777</v>
      </c>
      <c r="J73" t="s">
        <v>141</v>
      </c>
      <c r="K73">
        <f>1-7654321098</f>
        <v>-7654321097</v>
      </c>
      <c r="L73" t="s">
        <v>31</v>
      </c>
      <c r="M73" t="b">
        <v>1</v>
      </c>
      <c r="N73" t="s">
        <v>38</v>
      </c>
      <c r="O73" t="s">
        <v>16</v>
      </c>
      <c r="P73" s="1">
        <v>45501</v>
      </c>
      <c r="Q73" t="s">
        <v>33</v>
      </c>
      <c r="R73">
        <v>17</v>
      </c>
      <c r="S73">
        <v>176.47</v>
      </c>
      <c r="T73">
        <v>31</v>
      </c>
      <c r="U73" t="s">
        <v>27</v>
      </c>
    </row>
    <row r="74" spans="1:21" x14ac:dyDescent="0.35">
      <c r="A74">
        <v>1073</v>
      </c>
      <c r="B74" t="s">
        <v>87</v>
      </c>
      <c r="C74">
        <v>38</v>
      </c>
      <c r="D74" t="s">
        <v>11</v>
      </c>
      <c r="E74" t="s">
        <v>36</v>
      </c>
      <c r="F74" s="1">
        <v>44965</v>
      </c>
      <c r="G74">
        <v>12</v>
      </c>
      <c r="H74">
        <v>2400</v>
      </c>
      <c r="I74" s="1">
        <v>45777</v>
      </c>
      <c r="J74" t="s">
        <v>142</v>
      </c>
      <c r="K74">
        <f>1-6543210987</f>
        <v>-6543210986</v>
      </c>
      <c r="L74" t="s">
        <v>14</v>
      </c>
      <c r="M74" t="b">
        <v>1</v>
      </c>
      <c r="N74" t="s">
        <v>15</v>
      </c>
      <c r="O74" t="s">
        <v>25</v>
      </c>
      <c r="P74" s="1">
        <v>45509</v>
      </c>
      <c r="Q74" t="s">
        <v>17</v>
      </c>
      <c r="R74">
        <v>13</v>
      </c>
      <c r="S74">
        <v>184.62</v>
      </c>
      <c r="T74">
        <v>26</v>
      </c>
      <c r="U74" t="s">
        <v>34</v>
      </c>
    </row>
    <row r="75" spans="1:21" x14ac:dyDescent="0.35">
      <c r="A75">
        <v>1074</v>
      </c>
      <c r="B75" t="s">
        <v>50</v>
      </c>
      <c r="C75">
        <v>34</v>
      </c>
      <c r="D75" t="s">
        <v>20</v>
      </c>
      <c r="E75" t="s">
        <v>12</v>
      </c>
      <c r="F75" s="1">
        <v>45068</v>
      </c>
      <c r="G75">
        <v>14</v>
      </c>
      <c r="H75">
        <v>2800</v>
      </c>
      <c r="I75" s="1">
        <v>45777</v>
      </c>
      <c r="J75" t="s">
        <v>143</v>
      </c>
      <c r="K75">
        <f>1-5432109876</f>
        <v>-5432109875</v>
      </c>
      <c r="L75" t="s">
        <v>23</v>
      </c>
      <c r="M75" t="b">
        <v>1</v>
      </c>
      <c r="N75" t="s">
        <v>24</v>
      </c>
      <c r="O75" t="s">
        <v>16</v>
      </c>
      <c r="P75" s="1">
        <v>45546</v>
      </c>
      <c r="Q75" t="s">
        <v>26</v>
      </c>
      <c r="R75">
        <v>15</v>
      </c>
      <c r="S75">
        <v>186.67</v>
      </c>
      <c r="T75">
        <v>28</v>
      </c>
      <c r="U75" t="s">
        <v>18</v>
      </c>
    </row>
    <row r="76" spans="1:21" x14ac:dyDescent="0.35">
      <c r="A76">
        <v>1075</v>
      </c>
      <c r="B76" t="s">
        <v>144</v>
      </c>
      <c r="C76">
        <v>32</v>
      </c>
      <c r="D76" t="s">
        <v>11</v>
      </c>
      <c r="E76" t="s">
        <v>29</v>
      </c>
      <c r="F76" s="1">
        <v>44998</v>
      </c>
      <c r="G76">
        <v>12</v>
      </c>
      <c r="H76">
        <v>2400</v>
      </c>
      <c r="I76" s="1">
        <v>45777</v>
      </c>
      <c r="J76" t="s">
        <v>145</v>
      </c>
      <c r="K76">
        <f>1-4321987654</f>
        <v>-4321987653</v>
      </c>
      <c r="L76" t="s">
        <v>31</v>
      </c>
      <c r="M76" t="b">
        <v>1</v>
      </c>
      <c r="N76" t="s">
        <v>38</v>
      </c>
      <c r="O76" t="s">
        <v>25</v>
      </c>
      <c r="P76" s="1">
        <v>45644</v>
      </c>
      <c r="Q76" t="s">
        <v>33</v>
      </c>
      <c r="R76">
        <v>14</v>
      </c>
      <c r="S76">
        <v>171.43</v>
      </c>
      <c r="T76">
        <v>22</v>
      </c>
      <c r="U76" t="s">
        <v>27</v>
      </c>
    </row>
    <row r="77" spans="1:21" x14ac:dyDescent="0.35">
      <c r="A77">
        <v>1076</v>
      </c>
      <c r="B77" t="s">
        <v>69</v>
      </c>
      <c r="C77">
        <v>43</v>
      </c>
      <c r="D77" t="s">
        <v>20</v>
      </c>
      <c r="E77" t="s">
        <v>36</v>
      </c>
      <c r="F77" s="1">
        <v>44928</v>
      </c>
      <c r="G77">
        <v>10</v>
      </c>
      <c r="H77">
        <v>2000</v>
      </c>
      <c r="I77" s="1">
        <v>45777</v>
      </c>
      <c r="J77" t="s">
        <v>146</v>
      </c>
      <c r="K77">
        <f>1-3219876543</f>
        <v>-3219876542</v>
      </c>
      <c r="L77" t="s">
        <v>23</v>
      </c>
      <c r="M77" t="b">
        <v>1</v>
      </c>
      <c r="N77" t="s">
        <v>15</v>
      </c>
      <c r="O77" t="s">
        <v>16</v>
      </c>
      <c r="P77" s="1">
        <v>45513</v>
      </c>
      <c r="Q77" t="s">
        <v>39</v>
      </c>
      <c r="R77">
        <v>12</v>
      </c>
      <c r="S77">
        <v>166.67</v>
      </c>
      <c r="T77">
        <v>18</v>
      </c>
      <c r="U77" t="s">
        <v>18</v>
      </c>
    </row>
    <row r="78" spans="1:21" x14ac:dyDescent="0.35">
      <c r="A78">
        <v>1077</v>
      </c>
      <c r="B78" t="s">
        <v>59</v>
      </c>
      <c r="C78">
        <v>29</v>
      </c>
      <c r="D78" t="s">
        <v>11</v>
      </c>
      <c r="E78" t="s">
        <v>12</v>
      </c>
      <c r="F78" s="1">
        <v>45095</v>
      </c>
      <c r="G78">
        <v>14</v>
      </c>
      <c r="H78">
        <v>2800</v>
      </c>
      <c r="I78" s="1">
        <v>45777</v>
      </c>
      <c r="J78" t="s">
        <v>147</v>
      </c>
      <c r="K78">
        <f>1-2109876432</f>
        <v>-2109876431</v>
      </c>
      <c r="L78" t="s">
        <v>14</v>
      </c>
      <c r="M78" t="b">
        <v>1</v>
      </c>
      <c r="N78" t="s">
        <v>24</v>
      </c>
      <c r="O78" t="s">
        <v>25</v>
      </c>
      <c r="P78" s="1">
        <v>45493</v>
      </c>
      <c r="Q78" t="s">
        <v>26</v>
      </c>
      <c r="R78">
        <v>15</v>
      </c>
      <c r="S78">
        <v>186.67</v>
      </c>
      <c r="T78">
        <v>30</v>
      </c>
      <c r="U78" t="s">
        <v>27</v>
      </c>
    </row>
    <row r="79" spans="1:21" x14ac:dyDescent="0.35">
      <c r="A79">
        <v>1078</v>
      </c>
      <c r="B79" t="s">
        <v>79</v>
      </c>
      <c r="C79">
        <v>37</v>
      </c>
      <c r="D79" t="s">
        <v>11</v>
      </c>
      <c r="E79" t="s">
        <v>29</v>
      </c>
      <c r="F79" s="1">
        <v>44891</v>
      </c>
      <c r="G79">
        <v>16</v>
      </c>
      <c r="H79">
        <v>3200</v>
      </c>
      <c r="I79" s="1">
        <v>45777</v>
      </c>
      <c r="J79" t="s">
        <v>148</v>
      </c>
      <c r="K79">
        <f>1-1098765432</f>
        <v>-1098765431</v>
      </c>
      <c r="L79" t="s">
        <v>31</v>
      </c>
      <c r="M79" t="b">
        <v>1</v>
      </c>
      <c r="N79" t="s">
        <v>38</v>
      </c>
      <c r="O79" t="s">
        <v>16</v>
      </c>
      <c r="P79" s="1">
        <v>45519</v>
      </c>
      <c r="Q79" t="s">
        <v>33</v>
      </c>
      <c r="R79">
        <v>17</v>
      </c>
      <c r="S79">
        <v>188.24</v>
      </c>
      <c r="T79">
        <v>32</v>
      </c>
      <c r="U79" t="s">
        <v>34</v>
      </c>
    </row>
    <row r="80" spans="1:21" x14ac:dyDescent="0.35">
      <c r="A80">
        <v>1079</v>
      </c>
      <c r="B80" t="s">
        <v>81</v>
      </c>
      <c r="C80">
        <v>40</v>
      </c>
      <c r="D80" t="s">
        <v>20</v>
      </c>
      <c r="E80" t="s">
        <v>36</v>
      </c>
      <c r="F80" s="1">
        <v>44984</v>
      </c>
      <c r="G80">
        <v>12</v>
      </c>
      <c r="H80">
        <v>2400</v>
      </c>
      <c r="I80" s="1">
        <v>45777</v>
      </c>
      <c r="J80" t="s">
        <v>149</v>
      </c>
      <c r="K80">
        <f>1-9876543210</f>
        <v>-9876543209</v>
      </c>
      <c r="L80" t="s">
        <v>14</v>
      </c>
      <c r="M80" t="b">
        <v>1</v>
      </c>
      <c r="N80" t="s">
        <v>15</v>
      </c>
      <c r="O80" t="s">
        <v>25</v>
      </c>
      <c r="P80" s="1">
        <v>45629</v>
      </c>
      <c r="Q80" t="s">
        <v>17</v>
      </c>
      <c r="R80">
        <v>14</v>
      </c>
      <c r="S80">
        <v>171.43</v>
      </c>
      <c r="T80">
        <v>26</v>
      </c>
      <c r="U80" t="s">
        <v>18</v>
      </c>
    </row>
    <row r="81" spans="1:21" x14ac:dyDescent="0.35">
      <c r="A81">
        <v>1080</v>
      </c>
      <c r="B81" t="s">
        <v>10</v>
      </c>
      <c r="C81">
        <v>33</v>
      </c>
      <c r="D81" t="s">
        <v>11</v>
      </c>
      <c r="E81" t="s">
        <v>12</v>
      </c>
      <c r="F81" s="1">
        <v>45004</v>
      </c>
      <c r="G81">
        <v>15</v>
      </c>
      <c r="H81">
        <v>3000</v>
      </c>
      <c r="I81" s="1">
        <v>45777</v>
      </c>
      <c r="J81" t="s">
        <v>150</v>
      </c>
      <c r="K81">
        <f>1-8765432109</f>
        <v>-8765432108</v>
      </c>
      <c r="L81" t="s">
        <v>23</v>
      </c>
      <c r="M81" t="b">
        <v>1</v>
      </c>
      <c r="N81" t="s">
        <v>24</v>
      </c>
      <c r="O81" t="s">
        <v>16</v>
      </c>
      <c r="P81" s="1">
        <v>45547</v>
      </c>
      <c r="Q81" t="s">
        <v>26</v>
      </c>
      <c r="R81">
        <v>16</v>
      </c>
      <c r="S81">
        <v>187.5</v>
      </c>
      <c r="T81">
        <v>30</v>
      </c>
      <c r="U81" t="s">
        <v>27</v>
      </c>
    </row>
    <row r="82" spans="1:21" x14ac:dyDescent="0.35">
      <c r="A82">
        <v>1081</v>
      </c>
      <c r="B82" t="s">
        <v>93</v>
      </c>
      <c r="C82">
        <v>41</v>
      </c>
      <c r="D82" t="s">
        <v>20</v>
      </c>
      <c r="E82" t="s">
        <v>29</v>
      </c>
      <c r="F82" s="1">
        <v>44783</v>
      </c>
      <c r="G82">
        <v>18</v>
      </c>
      <c r="H82">
        <v>3600</v>
      </c>
      <c r="I82" s="1">
        <v>45777</v>
      </c>
      <c r="J82" t="s">
        <v>151</v>
      </c>
      <c r="K82">
        <f>1-7654321098</f>
        <v>-7654321097</v>
      </c>
      <c r="L82" t="s">
        <v>31</v>
      </c>
      <c r="M82" t="b">
        <v>1</v>
      </c>
      <c r="N82" t="s">
        <v>38</v>
      </c>
      <c r="O82" t="s">
        <v>32</v>
      </c>
      <c r="P82" s="1">
        <v>45478</v>
      </c>
      <c r="Q82" t="s">
        <v>33</v>
      </c>
      <c r="R82">
        <v>19</v>
      </c>
      <c r="S82">
        <v>189.47</v>
      </c>
      <c r="T82">
        <v>36</v>
      </c>
      <c r="U82" t="s">
        <v>34</v>
      </c>
    </row>
    <row r="83" spans="1:21" x14ac:dyDescent="0.35">
      <c r="A83">
        <v>1082</v>
      </c>
      <c r="B83" t="s">
        <v>73</v>
      </c>
      <c r="C83">
        <v>29</v>
      </c>
      <c r="D83" t="s">
        <v>20</v>
      </c>
      <c r="E83" t="s">
        <v>36</v>
      </c>
      <c r="F83" s="1">
        <v>44947</v>
      </c>
      <c r="G83">
        <v>14</v>
      </c>
      <c r="H83">
        <v>2800</v>
      </c>
      <c r="I83" s="1">
        <v>45777</v>
      </c>
      <c r="J83" t="s">
        <v>152</v>
      </c>
      <c r="K83">
        <f>1-4321987654</f>
        <v>-4321987653</v>
      </c>
      <c r="L83" t="s">
        <v>14</v>
      </c>
      <c r="M83" t="b">
        <v>1</v>
      </c>
      <c r="N83" t="s">
        <v>24</v>
      </c>
      <c r="O83" t="s">
        <v>25</v>
      </c>
      <c r="P83" s="1">
        <v>45587</v>
      </c>
      <c r="Q83" t="s">
        <v>39</v>
      </c>
      <c r="R83">
        <v>15</v>
      </c>
      <c r="S83">
        <v>186.67</v>
      </c>
      <c r="T83">
        <v>28</v>
      </c>
      <c r="U83" t="s">
        <v>18</v>
      </c>
    </row>
    <row r="84" spans="1:21" x14ac:dyDescent="0.35">
      <c r="A84">
        <v>1083</v>
      </c>
      <c r="B84" t="s">
        <v>87</v>
      </c>
      <c r="C84">
        <v>30</v>
      </c>
      <c r="D84" t="s">
        <v>11</v>
      </c>
      <c r="E84" t="s">
        <v>12</v>
      </c>
      <c r="F84" s="1">
        <v>44970</v>
      </c>
      <c r="G84">
        <v>10</v>
      </c>
      <c r="H84">
        <v>2000</v>
      </c>
      <c r="I84" s="1">
        <v>45777</v>
      </c>
      <c r="J84" t="s">
        <v>153</v>
      </c>
      <c r="K84">
        <f>1-3219876543</f>
        <v>-3219876542</v>
      </c>
      <c r="L84" t="s">
        <v>23</v>
      </c>
      <c r="M84" t="b">
        <v>1</v>
      </c>
      <c r="N84" t="s">
        <v>15</v>
      </c>
      <c r="O84" t="s">
        <v>16</v>
      </c>
      <c r="P84" s="1">
        <v>45522</v>
      </c>
      <c r="Q84" t="s">
        <v>26</v>
      </c>
      <c r="R84">
        <v>11</v>
      </c>
      <c r="S84">
        <v>181.82</v>
      </c>
      <c r="T84">
        <v>20</v>
      </c>
      <c r="U84" t="s">
        <v>27</v>
      </c>
    </row>
    <row r="85" spans="1:21" x14ac:dyDescent="0.35">
      <c r="A85">
        <v>1084</v>
      </c>
      <c r="B85" t="s">
        <v>85</v>
      </c>
      <c r="C85">
        <v>32</v>
      </c>
      <c r="D85" t="s">
        <v>20</v>
      </c>
      <c r="E85" t="s">
        <v>29</v>
      </c>
      <c r="F85" s="1">
        <v>44989</v>
      </c>
      <c r="G85">
        <v>12</v>
      </c>
      <c r="H85">
        <v>2400</v>
      </c>
      <c r="I85" s="1">
        <v>45777</v>
      </c>
      <c r="J85" t="s">
        <v>154</v>
      </c>
      <c r="K85">
        <f>1-2109876432</f>
        <v>-2109876431</v>
      </c>
      <c r="L85" t="s">
        <v>31</v>
      </c>
      <c r="M85" t="b">
        <v>1</v>
      </c>
      <c r="N85" t="s">
        <v>24</v>
      </c>
      <c r="O85" t="s">
        <v>25</v>
      </c>
      <c r="P85" s="1">
        <v>45538</v>
      </c>
      <c r="Q85" t="s">
        <v>33</v>
      </c>
      <c r="R85">
        <v>14</v>
      </c>
      <c r="S85">
        <v>171.43</v>
      </c>
      <c r="T85">
        <v>24</v>
      </c>
      <c r="U85" t="s">
        <v>34</v>
      </c>
    </row>
    <row r="86" spans="1:21" x14ac:dyDescent="0.35">
      <c r="A86">
        <v>1085</v>
      </c>
      <c r="B86" t="s">
        <v>77</v>
      </c>
      <c r="C86">
        <v>34</v>
      </c>
      <c r="D86" t="s">
        <v>20</v>
      </c>
      <c r="E86" t="s">
        <v>36</v>
      </c>
      <c r="F86" s="1">
        <v>45102</v>
      </c>
      <c r="G86">
        <v>10</v>
      </c>
      <c r="H86">
        <v>2000</v>
      </c>
      <c r="I86" s="1">
        <v>45777</v>
      </c>
      <c r="J86" t="s">
        <v>155</v>
      </c>
      <c r="K86">
        <f>1-1098765432</f>
        <v>-1098765431</v>
      </c>
      <c r="L86" t="s">
        <v>23</v>
      </c>
      <c r="M86" t="b">
        <v>1</v>
      </c>
      <c r="N86" t="s">
        <v>38</v>
      </c>
      <c r="O86" t="s">
        <v>16</v>
      </c>
      <c r="P86" s="1">
        <v>45580</v>
      </c>
      <c r="Q86" t="s">
        <v>17</v>
      </c>
      <c r="R86">
        <v>12</v>
      </c>
      <c r="S86">
        <v>166.67</v>
      </c>
      <c r="T86">
        <v>18</v>
      </c>
      <c r="U86" t="s">
        <v>18</v>
      </c>
    </row>
    <row r="87" spans="1:21" x14ac:dyDescent="0.35">
      <c r="A87">
        <v>1086</v>
      </c>
      <c r="B87" t="s">
        <v>40</v>
      </c>
      <c r="C87">
        <v>30</v>
      </c>
      <c r="D87" t="s">
        <v>11</v>
      </c>
      <c r="E87" t="s">
        <v>12</v>
      </c>
      <c r="F87" s="1">
        <v>44939</v>
      </c>
      <c r="G87">
        <v>14</v>
      </c>
      <c r="H87">
        <v>2800</v>
      </c>
      <c r="I87" s="1">
        <v>45777</v>
      </c>
      <c r="J87" t="s">
        <v>156</v>
      </c>
      <c r="K87">
        <f>1-4321987654</f>
        <v>-4321987653</v>
      </c>
      <c r="L87" t="s">
        <v>14</v>
      </c>
      <c r="M87" t="b">
        <v>1</v>
      </c>
      <c r="N87" t="s">
        <v>15</v>
      </c>
      <c r="O87" t="s">
        <v>25</v>
      </c>
      <c r="P87" s="1">
        <v>45563</v>
      </c>
      <c r="Q87" t="s">
        <v>26</v>
      </c>
      <c r="R87">
        <v>15</v>
      </c>
      <c r="S87">
        <v>186.67</v>
      </c>
      <c r="T87">
        <v>28</v>
      </c>
      <c r="U87" t="s">
        <v>27</v>
      </c>
    </row>
    <row r="88" spans="1:21" x14ac:dyDescent="0.35">
      <c r="A88">
        <v>1087</v>
      </c>
      <c r="B88" t="s">
        <v>47</v>
      </c>
      <c r="C88">
        <v>36</v>
      </c>
      <c r="D88" t="s">
        <v>11</v>
      </c>
      <c r="E88" t="s">
        <v>29</v>
      </c>
      <c r="F88" s="1">
        <v>44835</v>
      </c>
      <c r="G88">
        <v>18</v>
      </c>
      <c r="H88">
        <v>3600</v>
      </c>
      <c r="I88" s="1">
        <v>45777</v>
      </c>
      <c r="J88" t="s">
        <v>157</v>
      </c>
      <c r="K88">
        <f>1-5432109876</f>
        <v>-5432109875</v>
      </c>
      <c r="L88" t="s">
        <v>31</v>
      </c>
      <c r="M88" t="b">
        <v>1</v>
      </c>
      <c r="N88" t="s">
        <v>38</v>
      </c>
      <c r="O88" t="s">
        <v>16</v>
      </c>
      <c r="P88" s="1">
        <v>45484</v>
      </c>
      <c r="Q88" t="s">
        <v>33</v>
      </c>
      <c r="R88">
        <v>20</v>
      </c>
      <c r="S88">
        <v>180</v>
      </c>
      <c r="T88">
        <v>36</v>
      </c>
      <c r="U88" t="s">
        <v>34</v>
      </c>
    </row>
    <row r="89" spans="1:21" x14ac:dyDescent="0.35">
      <c r="A89">
        <v>1088</v>
      </c>
      <c r="B89" t="s">
        <v>61</v>
      </c>
      <c r="C89">
        <v>31</v>
      </c>
      <c r="D89" t="s">
        <v>20</v>
      </c>
      <c r="E89" t="s">
        <v>36</v>
      </c>
      <c r="F89" s="1">
        <v>45026</v>
      </c>
      <c r="G89">
        <v>13</v>
      </c>
      <c r="H89">
        <v>2600</v>
      </c>
      <c r="I89" s="1">
        <v>45777</v>
      </c>
      <c r="J89" t="s">
        <v>158</v>
      </c>
      <c r="K89">
        <f>1-7654321098</f>
        <v>-7654321097</v>
      </c>
      <c r="L89" t="s">
        <v>23</v>
      </c>
      <c r="M89" t="b">
        <v>1</v>
      </c>
      <c r="N89" t="s">
        <v>15</v>
      </c>
      <c r="O89" t="s">
        <v>25</v>
      </c>
      <c r="P89" s="1">
        <v>45529</v>
      </c>
      <c r="Q89" t="s">
        <v>39</v>
      </c>
      <c r="R89">
        <v>14</v>
      </c>
      <c r="S89">
        <v>185.71</v>
      </c>
      <c r="T89">
        <v>22</v>
      </c>
      <c r="U89" t="s">
        <v>18</v>
      </c>
    </row>
    <row r="90" spans="1:21" x14ac:dyDescent="0.35">
      <c r="A90">
        <v>1089</v>
      </c>
      <c r="B90" t="s">
        <v>79</v>
      </c>
      <c r="C90">
        <v>33</v>
      </c>
      <c r="D90" t="s">
        <v>11</v>
      </c>
      <c r="E90" t="s">
        <v>12</v>
      </c>
      <c r="F90" s="1">
        <v>45051</v>
      </c>
      <c r="G90">
        <v>15</v>
      </c>
      <c r="H90">
        <v>3000</v>
      </c>
      <c r="I90" s="1">
        <v>45777</v>
      </c>
      <c r="J90" t="s">
        <v>159</v>
      </c>
      <c r="K90">
        <f>1-6543210987</f>
        <v>-6543210986</v>
      </c>
      <c r="L90" t="s">
        <v>14</v>
      </c>
      <c r="M90" t="b">
        <v>1</v>
      </c>
      <c r="N90" t="s">
        <v>24</v>
      </c>
      <c r="O90" t="s">
        <v>25</v>
      </c>
      <c r="P90" s="1">
        <v>45549</v>
      </c>
      <c r="Q90" t="s">
        <v>26</v>
      </c>
      <c r="R90">
        <v>16</v>
      </c>
      <c r="S90">
        <v>187.5</v>
      </c>
      <c r="T90">
        <v>30</v>
      </c>
      <c r="U90" t="s">
        <v>27</v>
      </c>
    </row>
    <row r="91" spans="1:21" x14ac:dyDescent="0.35">
      <c r="A91">
        <v>1090</v>
      </c>
      <c r="B91" t="s">
        <v>160</v>
      </c>
      <c r="C91">
        <v>42</v>
      </c>
      <c r="D91" t="s">
        <v>20</v>
      </c>
      <c r="E91" t="s">
        <v>29</v>
      </c>
      <c r="F91" s="1">
        <v>44760</v>
      </c>
      <c r="G91">
        <v>14</v>
      </c>
      <c r="H91">
        <v>2800</v>
      </c>
      <c r="I91" s="1">
        <v>45777</v>
      </c>
      <c r="J91" t="s">
        <v>161</v>
      </c>
      <c r="K91">
        <f>1-9876543210</f>
        <v>-9876543209</v>
      </c>
      <c r="L91" t="s">
        <v>31</v>
      </c>
      <c r="M91" t="b">
        <v>1</v>
      </c>
      <c r="N91" t="s">
        <v>38</v>
      </c>
      <c r="O91" t="s">
        <v>16</v>
      </c>
      <c r="P91" s="1">
        <v>45482</v>
      </c>
      <c r="Q91" t="s">
        <v>33</v>
      </c>
      <c r="R91">
        <v>16</v>
      </c>
      <c r="S91">
        <v>175</v>
      </c>
      <c r="T91">
        <v>28</v>
      </c>
      <c r="U91" t="s">
        <v>34</v>
      </c>
    </row>
    <row r="92" spans="1:21" x14ac:dyDescent="0.35">
      <c r="A92">
        <v>1091</v>
      </c>
      <c r="B92" t="s">
        <v>75</v>
      </c>
      <c r="C92">
        <v>29</v>
      </c>
      <c r="D92" t="s">
        <v>11</v>
      </c>
      <c r="E92" t="s">
        <v>36</v>
      </c>
      <c r="F92" s="1">
        <v>45043</v>
      </c>
      <c r="G92">
        <v>11</v>
      </c>
      <c r="H92">
        <v>2200</v>
      </c>
      <c r="I92" s="1">
        <v>45777</v>
      </c>
      <c r="J92" t="s">
        <v>162</v>
      </c>
      <c r="K92">
        <f>1-3219876543</f>
        <v>-3219876542</v>
      </c>
      <c r="L92" t="s">
        <v>23</v>
      </c>
      <c r="M92" t="b">
        <v>1</v>
      </c>
      <c r="N92" t="s">
        <v>15</v>
      </c>
      <c r="O92" t="s">
        <v>25</v>
      </c>
      <c r="P92" s="1">
        <v>45533</v>
      </c>
      <c r="Q92" t="s">
        <v>17</v>
      </c>
      <c r="R92">
        <v>12</v>
      </c>
      <c r="S92">
        <v>181.82</v>
      </c>
      <c r="T92">
        <v>20</v>
      </c>
      <c r="U92" t="s">
        <v>18</v>
      </c>
    </row>
    <row r="93" spans="1:21" x14ac:dyDescent="0.35">
      <c r="A93">
        <v>1092</v>
      </c>
      <c r="B93" t="s">
        <v>104</v>
      </c>
      <c r="C93">
        <v>40</v>
      </c>
      <c r="D93" t="s">
        <v>20</v>
      </c>
      <c r="E93" t="s">
        <v>12</v>
      </c>
      <c r="F93" s="1">
        <v>44938</v>
      </c>
      <c r="G93">
        <v>14</v>
      </c>
      <c r="H93">
        <v>2800</v>
      </c>
      <c r="I93" s="1">
        <v>45777</v>
      </c>
      <c r="J93" t="s">
        <v>163</v>
      </c>
      <c r="K93">
        <f>1-2109876432</f>
        <v>-2109876431</v>
      </c>
      <c r="L93" t="s">
        <v>14</v>
      </c>
      <c r="M93" t="b">
        <v>1</v>
      </c>
      <c r="N93" t="s">
        <v>38</v>
      </c>
      <c r="O93" t="s">
        <v>16</v>
      </c>
      <c r="P93" s="1">
        <v>45488</v>
      </c>
      <c r="Q93" t="s">
        <v>26</v>
      </c>
      <c r="R93">
        <v>15</v>
      </c>
      <c r="S93">
        <v>186.67</v>
      </c>
      <c r="T93">
        <v>28</v>
      </c>
      <c r="U93" t="s">
        <v>27</v>
      </c>
    </row>
    <row r="94" spans="1:21" x14ac:dyDescent="0.35">
      <c r="A94">
        <v>1093</v>
      </c>
      <c r="B94" t="s">
        <v>164</v>
      </c>
      <c r="C94">
        <v>34</v>
      </c>
      <c r="D94" t="s">
        <v>20</v>
      </c>
      <c r="E94" t="s">
        <v>29</v>
      </c>
      <c r="F94" s="1">
        <v>44980</v>
      </c>
      <c r="G94">
        <v>12</v>
      </c>
      <c r="H94">
        <v>2400</v>
      </c>
      <c r="I94" s="1">
        <v>45777</v>
      </c>
      <c r="J94" t="s">
        <v>165</v>
      </c>
      <c r="K94">
        <f>1-1098765432</f>
        <v>-1098765431</v>
      </c>
      <c r="L94" t="s">
        <v>31</v>
      </c>
      <c r="M94" t="b">
        <v>1</v>
      </c>
      <c r="N94" t="s">
        <v>24</v>
      </c>
      <c r="O94" t="s">
        <v>25</v>
      </c>
      <c r="P94" s="1">
        <v>45607</v>
      </c>
      <c r="Q94" t="s">
        <v>33</v>
      </c>
      <c r="R94">
        <v>14</v>
      </c>
      <c r="S94">
        <v>171.43</v>
      </c>
      <c r="T94">
        <v>22</v>
      </c>
      <c r="U94" t="s">
        <v>34</v>
      </c>
    </row>
    <row r="95" spans="1:21" x14ac:dyDescent="0.35">
      <c r="A95">
        <v>1094</v>
      </c>
      <c r="B95" t="s">
        <v>93</v>
      </c>
      <c r="C95">
        <v>41</v>
      </c>
      <c r="D95" t="s">
        <v>11</v>
      </c>
      <c r="E95" t="s">
        <v>36</v>
      </c>
      <c r="F95" s="1">
        <v>45083</v>
      </c>
      <c r="G95">
        <v>13</v>
      </c>
      <c r="H95">
        <v>2600</v>
      </c>
      <c r="I95" s="1">
        <v>45777</v>
      </c>
      <c r="J95" t="s">
        <v>166</v>
      </c>
      <c r="K95">
        <f>1-4321987654</f>
        <v>-4321987653</v>
      </c>
      <c r="L95" t="s">
        <v>23</v>
      </c>
      <c r="M95" t="b">
        <v>1</v>
      </c>
      <c r="N95" t="s">
        <v>15</v>
      </c>
      <c r="O95" t="s">
        <v>16</v>
      </c>
      <c r="P95" s="1">
        <v>45499</v>
      </c>
      <c r="Q95" t="s">
        <v>39</v>
      </c>
      <c r="R95">
        <v>14</v>
      </c>
      <c r="S95">
        <v>185.71</v>
      </c>
      <c r="T95">
        <v>24</v>
      </c>
      <c r="U95" t="s">
        <v>18</v>
      </c>
    </row>
    <row r="96" spans="1:21" x14ac:dyDescent="0.35">
      <c r="A96">
        <v>1095</v>
      </c>
      <c r="B96" t="s">
        <v>77</v>
      </c>
      <c r="C96">
        <v>29</v>
      </c>
      <c r="D96" t="s">
        <v>20</v>
      </c>
      <c r="E96" t="s">
        <v>12</v>
      </c>
      <c r="F96" s="1">
        <v>44956</v>
      </c>
      <c r="G96">
        <v>15</v>
      </c>
      <c r="H96">
        <v>3000</v>
      </c>
      <c r="I96" s="1">
        <v>45777</v>
      </c>
      <c r="J96" t="s">
        <v>167</v>
      </c>
      <c r="K96">
        <f>1-8765432109</f>
        <v>-8765432108</v>
      </c>
      <c r="L96" t="s">
        <v>14</v>
      </c>
      <c r="M96" t="b">
        <v>1</v>
      </c>
      <c r="N96" t="s">
        <v>24</v>
      </c>
      <c r="O96" t="s">
        <v>25</v>
      </c>
      <c r="P96" s="1">
        <v>45552</v>
      </c>
      <c r="Q96" t="s">
        <v>26</v>
      </c>
      <c r="R96">
        <v>16</v>
      </c>
      <c r="S96">
        <v>187.5</v>
      </c>
      <c r="T96">
        <v>30</v>
      </c>
      <c r="U96" t="s">
        <v>27</v>
      </c>
    </row>
    <row r="97" spans="1:21" x14ac:dyDescent="0.35">
      <c r="A97">
        <v>1096</v>
      </c>
      <c r="B97" t="s">
        <v>28</v>
      </c>
      <c r="C97">
        <v>36</v>
      </c>
      <c r="D97" t="s">
        <v>11</v>
      </c>
      <c r="E97" t="s">
        <v>29</v>
      </c>
      <c r="F97" s="1">
        <v>44778</v>
      </c>
      <c r="G97">
        <v>16</v>
      </c>
      <c r="H97">
        <v>3200</v>
      </c>
      <c r="I97" s="1">
        <v>45777</v>
      </c>
      <c r="J97" t="s">
        <v>168</v>
      </c>
      <c r="K97">
        <f>1-2109876432</f>
        <v>-2109876431</v>
      </c>
      <c r="L97" t="s">
        <v>31</v>
      </c>
      <c r="M97" t="b">
        <v>1</v>
      </c>
      <c r="N97" t="s">
        <v>38</v>
      </c>
      <c r="O97" t="s">
        <v>16</v>
      </c>
      <c r="P97" s="1">
        <v>45492</v>
      </c>
      <c r="Q97" t="s">
        <v>33</v>
      </c>
      <c r="R97">
        <v>17</v>
      </c>
      <c r="S97">
        <v>188.24</v>
      </c>
      <c r="T97">
        <v>32</v>
      </c>
      <c r="U97" t="s">
        <v>34</v>
      </c>
    </row>
    <row r="98" spans="1:21" x14ac:dyDescent="0.35">
      <c r="A98">
        <v>1097</v>
      </c>
      <c r="B98" t="s">
        <v>95</v>
      </c>
      <c r="C98">
        <v>35</v>
      </c>
      <c r="D98" t="s">
        <v>11</v>
      </c>
      <c r="E98" t="s">
        <v>36</v>
      </c>
      <c r="F98" s="1">
        <v>45132</v>
      </c>
      <c r="G98">
        <v>12</v>
      </c>
      <c r="H98">
        <v>2400</v>
      </c>
      <c r="I98" s="1">
        <v>45777</v>
      </c>
      <c r="J98" t="s">
        <v>169</v>
      </c>
      <c r="K98">
        <f>1-1098765432</f>
        <v>-1098765431</v>
      </c>
      <c r="L98" t="s">
        <v>23</v>
      </c>
      <c r="M98" t="b">
        <v>1</v>
      </c>
      <c r="N98" t="s">
        <v>15</v>
      </c>
      <c r="O98" t="s">
        <v>25</v>
      </c>
      <c r="P98" s="1">
        <v>45569</v>
      </c>
      <c r="Q98" t="s">
        <v>17</v>
      </c>
      <c r="R98">
        <v>13</v>
      </c>
      <c r="S98">
        <v>184.62</v>
      </c>
      <c r="T98">
        <v>22</v>
      </c>
      <c r="U98" t="s">
        <v>18</v>
      </c>
    </row>
    <row r="99" spans="1:21" x14ac:dyDescent="0.35">
      <c r="A99">
        <v>1098</v>
      </c>
      <c r="B99" t="s">
        <v>63</v>
      </c>
      <c r="C99">
        <v>41</v>
      </c>
      <c r="D99" t="s">
        <v>11</v>
      </c>
      <c r="E99" t="s">
        <v>12</v>
      </c>
      <c r="F99" s="1">
        <v>45027</v>
      </c>
      <c r="G99">
        <v>13</v>
      </c>
      <c r="H99">
        <v>2600</v>
      </c>
      <c r="I99" s="1">
        <v>45777</v>
      </c>
      <c r="J99" t="s">
        <v>170</v>
      </c>
      <c r="K99">
        <f>1-4321987654</f>
        <v>-4321987653</v>
      </c>
      <c r="L99" t="s">
        <v>14</v>
      </c>
      <c r="M99" t="b">
        <v>1</v>
      </c>
      <c r="N99" t="s">
        <v>38</v>
      </c>
      <c r="O99" t="s">
        <v>16</v>
      </c>
      <c r="P99" s="1">
        <v>45541</v>
      </c>
      <c r="Q99" t="s">
        <v>26</v>
      </c>
      <c r="R99">
        <v>14</v>
      </c>
      <c r="S99">
        <v>185.71</v>
      </c>
      <c r="T99">
        <v>28</v>
      </c>
      <c r="U99" t="s">
        <v>27</v>
      </c>
    </row>
    <row r="100" spans="1:21" x14ac:dyDescent="0.35">
      <c r="A100">
        <v>1099</v>
      </c>
      <c r="B100" t="s">
        <v>50</v>
      </c>
      <c r="C100">
        <v>29</v>
      </c>
      <c r="D100" t="s">
        <v>20</v>
      </c>
      <c r="E100" t="s">
        <v>29</v>
      </c>
      <c r="F100" s="1">
        <v>45093</v>
      </c>
      <c r="G100">
        <v>10</v>
      </c>
      <c r="H100">
        <v>2000</v>
      </c>
      <c r="I100" s="1">
        <v>45777</v>
      </c>
      <c r="J100" t="s">
        <v>171</v>
      </c>
      <c r="K100">
        <f>1-7654321098</f>
        <v>-7654321097</v>
      </c>
      <c r="L100" t="s">
        <v>23</v>
      </c>
      <c r="M100" t="b">
        <v>1</v>
      </c>
      <c r="N100" t="s">
        <v>24</v>
      </c>
      <c r="O100" t="s">
        <v>25</v>
      </c>
      <c r="P100" s="1">
        <v>45597</v>
      </c>
      <c r="Q100" t="s">
        <v>33</v>
      </c>
      <c r="R100">
        <v>11</v>
      </c>
      <c r="S100">
        <v>181.82</v>
      </c>
      <c r="T100">
        <v>18</v>
      </c>
      <c r="U100" t="s">
        <v>18</v>
      </c>
    </row>
    <row r="101" spans="1:21" x14ac:dyDescent="0.35">
      <c r="A101">
        <v>1100</v>
      </c>
      <c r="B101" t="s">
        <v>172</v>
      </c>
      <c r="C101">
        <v>31</v>
      </c>
      <c r="D101" t="s">
        <v>11</v>
      </c>
      <c r="E101" t="s">
        <v>36</v>
      </c>
      <c r="F101" s="1">
        <v>44960</v>
      </c>
      <c r="G101">
        <v>14</v>
      </c>
      <c r="H101">
        <v>2800</v>
      </c>
      <c r="I101" s="1">
        <v>45777</v>
      </c>
      <c r="J101" t="s">
        <v>173</v>
      </c>
      <c r="K101">
        <f>1-5432109876</f>
        <v>-5432109875</v>
      </c>
      <c r="L101" t="s">
        <v>14</v>
      </c>
      <c r="M101" t="b">
        <v>1</v>
      </c>
      <c r="N101" t="s">
        <v>15</v>
      </c>
      <c r="O101" t="s">
        <v>25</v>
      </c>
      <c r="P101" s="1">
        <v>45559</v>
      </c>
      <c r="Q101" t="s">
        <v>39</v>
      </c>
      <c r="R101">
        <v>15</v>
      </c>
      <c r="S101">
        <v>186.67</v>
      </c>
      <c r="T101">
        <v>28</v>
      </c>
      <c r="U1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2025-05-01T13:11:21Z</dcterms:created>
  <dcterms:modified xsi:type="dcterms:W3CDTF">2025-05-01T13:23:24Z</dcterms:modified>
</cp:coreProperties>
</file>